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bució" sheetId="1" state="visible" r:id="rId2"/>
    <sheet name="Pes dels RA's" sheetId="2" state="visible" r:id="rId3"/>
    <sheet name="Càlcul nota" sheetId="3" state="visible" r:id="rId4"/>
    <sheet name="RA'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<sst xmlns="http://schemas.openxmlformats.org/spreadsheetml/2006/main" count="327" uniqueCount="125">
  <si>
    <t xml:space="preserve">Resultats d’aprenentatge amb els seus criteris d'avaluació.</t>
  </si>
  <si>
    <t xml:space="preserve">Criteris d'avaluació
RA1</t>
  </si>
  <si>
    <t xml:space="preserve">Criteris d'avaluació
RA2</t>
  </si>
  <si>
    <t xml:space="preserve">Criteris d'avaluació
RA3</t>
  </si>
  <si>
    <t xml:space="preserve">Criteris d'avaluació
RA4</t>
  </si>
  <si>
    <t xml:space="preserve">Criteris d'avaluació
RA5</t>
  </si>
  <si>
    <t xml:space="preserve">Criteris d'avaluació
RA6</t>
  </si>
  <si>
    <t xml:space="preserve">Criteris d'avaluació
RA7</t>
  </si>
  <si>
    <t xml:space="preserve">Avaluació</t>
  </si>
  <si>
    <t xml:space="preserve">Sprint</t>
  </si>
  <si>
    <t xml:space="preserve">Temporalització en sessions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</si>
  <si>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</si>
  <si>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</si>
  <si>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</si>
  <si>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</si>
  <si>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</si>
  <si>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</si>
  <si>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</si>
  <si>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</si>
  <si>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</si>
  <si>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</si>
  <si>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</si>
  <si>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1</t>
  </si>
  <si>
    <t xml:space="preserve">2</t>
  </si>
  <si>
    <t xml:space="preserve">3</t>
  </si>
  <si>
    <t xml:space="preserve">5</t>
  </si>
  <si>
    <t xml:space="preserve">Pràctiques</t>
  </si>
  <si>
    <t xml:space="preserve">% Nota de la matèria.</t>
  </si>
  <si>
    <t xml:space="preserve">Competències</t>
  </si>
  <si>
    <t xml:space="preserve">% Nota de la matèria</t>
  </si>
  <si>
    <t xml:space="preserve">Criteri
d'avaluació</t>
  </si>
  <si>
    <t xml:space="preserve">% Nota del
RA</t>
  </si>
  <si>
    <t xml:space="preserve">RA1</t>
  </si>
  <si>
    <t xml:space="preserve">RA2</t>
  </si>
  <si>
    <t xml:space="preserve">RA3</t>
  </si>
  <si>
    <t xml:space="preserve">RA4</t>
  </si>
  <si>
    <t xml:space="preserve">RA5</t>
  </si>
  <si>
    <t xml:space="preserve">RA6</t>
  </si>
  <si>
    <t xml:space="preserve">RA7</t>
  </si>
  <si>
    <t xml:space="preserve">Total matèria
DWEC</t>
  </si>
  <si>
    <t xml:space="preserve">TOTAL RA1</t>
  </si>
  <si>
    <t xml:space="preserve">TOTAL RA2</t>
  </si>
  <si>
    <t xml:space="preserve">TOTAL RA3</t>
  </si>
  <si>
    <t xml:space="preserve">TOTAL RA4</t>
  </si>
  <si>
    <t xml:space="preserve">TOTAL RA5</t>
  </si>
  <si>
    <t xml:space="preserve">TOTAL RA6</t>
  </si>
  <si>
    <t xml:space="preserve">TOTAL RA7</t>
  </si>
  <si>
    <t xml:space="preserve">CRIT.
AVA.</t>
  </si>
  <si>
    <t xml:space="preserve">PONDERACIÓ</t>
  </si>
  <si>
    <t xml:space="preserve">ACONSEGUIT</t>
  </si>
  <si>
    <t xml:space="preserve">PROGRÉS</t>
  </si>
  <si>
    <t xml:space="preserve">Evidències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</si>
  <si>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</si>
  <si>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</si>
  <si>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</si>
  <si>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</si>
  <si>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</si>
  <si>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Entrega
Final</t>
  </si>
  <si>
    <t xml:space="preserve">Act.  1</t>
  </si>
  <si>
    <t xml:space="preserve">Act.  2</t>
  </si>
  <si>
    <t xml:space="preserve">Act.  3</t>
  </si>
  <si>
    <t xml:space="preserve">Act.  4</t>
  </si>
  <si>
    <t xml:space="preserve">Act.  5</t>
  </si>
  <si>
    <t xml:space="preserve">RA’s</t>
  </si>
  <si>
    <t xml:space="preserve">PES</t>
  </si>
  <si>
    <t xml:space="preserve">NOTA</t>
  </si>
  <si>
    <t xml:space="preserve">TOTAL MÒDUL</t>
  </si>
  <si>
    <t xml:space="preserve">RA1 a) S'han caracteritzat i diferenciat els models d'execució de codi en el servidor i en el client Web.</t>
  </si>
  <si>
    <t xml:space="preserve">RA1 b) S'han identificat les capacitats i mecanismes d'execució de codi dels navegadors Web.</t>
  </si>
  <si>
    <t xml:space="preserve">RA1 c) S'han identificat i caracteritzat els principals llenguatges relacionats amb la programació de clients web.</t>
  </si>
  <si>
    <t xml:space="preserve">RA1 d) S'han reconegut les particularitats de la programació de scripts i els seus avantatges i desavantatges sobre la programació tradicional.</t>
  </si>
  <si>
    <t xml:space="preserve">RA1 e) S'han verificat els mecanismes d'integració dels llenguatges de marques amb els llenguatges de programació de clients Web.</t>
  </si>
  <si>
    <t xml:space="preserve">RA1 f) S'han reconegut i avaluat les eines de programació i prova sobre clients web.</t>
  </si>
  <si>
    <t xml:space="preserve">RA2 a) S'ha seleccionat un llenguatge de programació de clients Web en funció de les seues possibilitats.</t>
  </si>
  <si>
    <t xml:space="preserve">RA2 b) S'han utilitzat els diferents tipus de variables i operadors disponibles en el llenguatge.</t>
  </si>
  <si>
    <t xml:space="preserve">RA2 c) S'han identificat els àmbits d'utilització de les variables.</t>
  </si>
  <si>
    <t xml:space="preserve">RA2 d) S'han reconegut i comprovat les peculiaritats del llenguatge respecte a les conversions entre diferents tipus de dades.</t>
  </si>
  <si>
    <t xml:space="preserve">RA2 e) S'han utilitzat mecanismes de decisió en la creació de blocs de sentències.</t>
  </si>
  <si>
    <t xml:space="preserve">RA2 f) S'han utilitzat bucles i s'ha verificat el seu funcionament.</t>
  </si>
  <si>
    <t xml:space="preserve">RA2 g) S'han afegit comentaris al codi.</t>
  </si>
  <si>
    <t xml:space="preserve">RA2 h) S'han utilitzat eines i entorns per a facilitar la programació, prova i depuració del codi.</t>
  </si>
  <si>
    <t xml:space="preserve">RA3 a) S'han identificat els objectes predefinits del llenguatge.</t>
  </si>
  <si>
    <t xml:space="preserve">RA3 b) S'han analitzat els objectes referents a les finestres del navegador i els documents web que contenen</t>
  </si>
  <si>
    <t xml:space="preserve">RA3 c) S'han escrit sentències que utilitzen els objectes predefinits del llenguatge per a canviar l'aspecte del navegador i el document que conté.</t>
  </si>
  <si>
    <t xml:space="preserve">RA3 d) S'han generat textos i etiquetes com a resultat de l'execució de codi en el navegador.</t>
  </si>
  <si>
    <t xml:space="preserve">RA3 e) S'han escrit sentències que utilitzen els objectes predefinits del llenguatge per a interactuar amb l'usuari.</t>
  </si>
  <si>
    <t xml:space="preserve">RA3 f) S'han utilitzat les característiques pròpies del llenguatge en documents compostos per diverses finestres.</t>
  </si>
  <si>
    <t xml:space="preserve">RA3 g) S'han utilitzat mecanismes del navegador web per a emmagatzemar informació i recuperar el seu contingut.</t>
  </si>
  <si>
    <t xml:space="preserve">RA3 h) S'ha depurat i documentat el codi.</t>
  </si>
  <si>
    <t xml:space="preserve">RA4 a) S'han classificat i utilitzat les funcions predefinides del llenguatge.</t>
  </si>
  <si>
    <t xml:space="preserve">RA4 b) S'han creat i utilitzat funcions definides per l'usuari.</t>
  </si>
  <si>
    <t xml:space="preserve">RA4 c) S'han reconegut les característiques del llenguatge relatives a la creació i ús de matrius (arrays).</t>
  </si>
  <si>
    <t xml:space="preserve">RA4 d) S'han creat i utilitzat matrius (arrays).</t>
  </si>
  <si>
    <t xml:space="preserve">RA4 e) S'han utilitzat operacions agregades per al maneig d'informació emmagatzemada en col·leccions.</t>
  </si>
  <si>
    <t xml:space="preserve">RA4 f) S'han reconegut les característiques d'orientació a objectes del llenguatge.</t>
  </si>
  <si>
    <t xml:space="preserve">RA4 g) S'ha creat codi per a definir l'estructura d'objectes.</t>
  </si>
  <si>
    <t xml:space="preserve">RA4 h) S'han creat mètodes i propietats.</t>
  </si>
  <si>
    <t xml:space="preserve">RA4 i) S'ha creat codi que faça ús d'objectes definits per l'usuari.</t>
  </si>
  <si>
    <t xml:space="preserve">RA4 j) S'han utilitzat patrons de disseny de programari.</t>
  </si>
  <si>
    <t xml:space="preserve">RA4 k) S'ha depurat i documentat el codi.</t>
  </si>
  <si>
    <t xml:space="preserve">RA5 a) S'han reconegut les possibilitats del llenguatge de marques relatives a la captura dels esdeveniments produïts.</t>
  </si>
  <si>
    <t xml:space="preserve">RA5 b) S'han identificat les característiques del llenguatge de programació relatives a la gestió dels esdeveniments.</t>
  </si>
  <si>
    <t xml:space="preserve">RA5 c) S'han diferenciat els tipus d'esdeveniments que es poden manejar.</t>
  </si>
  <si>
    <t xml:space="preserve">RA5 d) S'ha creat un codi que capture i utilitze esdeveniments.</t>
  </si>
  <si>
    <t xml:space="preserve">RA5 e) S'han reconegut les capacitats del llenguatge relatives a la gestió de formularis web.</t>
  </si>
  <si>
    <t xml:space="preserve">RA5 f) S'han validat formularis web utilitzant esdeveniments.</t>
  </si>
  <si>
    <t xml:space="preserve">RA5 g) S'han utilitzat expressions regulars per a facilitar els procediments de validació.</t>
  </si>
  <si>
    <t xml:space="preserve">RA5 h) S'ha provat i documentat el codi.</t>
  </si>
  <si>
    <t xml:space="preserve">RA6 a) S'ha reconegut el model d'objectes del document d'una pàgina Web.</t>
  </si>
  <si>
    <t xml:space="preserve">RA6 b) S'han identificat els objectes del model, les seues propietats i mètodes.</t>
  </si>
  <si>
    <t xml:space="preserve">RA6 c) S'ha creat i verificat un codi que accedisca a l'estructura del document.</t>
  </si>
  <si>
    <t xml:space="preserve">RA6 d) S'han creat nous elements de l'estructura i modificat elements ja existents.</t>
  </si>
  <si>
    <t xml:space="preserve">RA6 e) S'han associat accions als esdeveniments del model.</t>
  </si>
  <si>
    <t xml:space="preserve">RA6 f) S'han identificat les diferències que presenta el model en diferents navegadors.</t>
  </si>
  <si>
    <t xml:space="preserve">RA6 g) S'han programat aplicacions web de manera que funcionen en navegadors amb diferents implementacions del model.</t>
  </si>
  <si>
    <t xml:space="preserve">RA6 h) S'han independitzat les tres facetes (contingut, aspecte i comportament), en aplicacions Web.</t>
  </si>
  <si>
    <t xml:space="preserve">RA7 a) S'han avaluat els avantatges i inconvenients d'utilitzar mecanismes de comunicació asíncrona entre client i servidor Web.</t>
  </si>
  <si>
    <t xml:space="preserve">RA7 b) S'han analitzat els mecanismes disponibles per a l'establiment de la comunicació asíncrona.</t>
  </si>
  <si>
    <t xml:space="preserve">RA7 c) S'han utilitzat els objectes relacionats.</t>
  </si>
  <si>
    <t xml:space="preserve">RA7 d) S'han identificat les seues propietats i els seus mètodes.</t>
  </si>
  <si>
    <t xml:space="preserve">RA7 e) S'ha utilitzat comunicació asíncrona en l'actualització dinàmica del document Web.</t>
  </si>
  <si>
    <t xml:space="preserve">RA7 f) S'han utilitzat diferents formats en l'enviament i recepció d'informació.</t>
  </si>
  <si>
    <t xml:space="preserve">RA7 g) S'han programat aplicacions web asíncrones de manera que funcionen en diferents navegadors.</t>
  </si>
  <si>
    <t xml:space="preserve">RA7 h) S'han classificat, analitzat i utilitzat llibreries i frameworks que faciliten la incorporació de les tecnologies d'actualització dinàmica a la programació de pàgines web.</t>
  </si>
  <si>
    <t xml:space="preserve">RA7 i) S'han creat, provat i documentat aplicacions web que utilitzen aquestes llibreries i frameworks.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</si>
</sst>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%"/>
    <numFmt numFmtId="167" formatCode="0.00"/>
    <numFmt numFmtId="168" formatCode="0.0"/>
    <numFmt numFmtId="169" formatCode="General"/>
    <numFmt numFmtId="170" formatCode="0"/>
    <numFmt numFmtId="171" formatCode="0.0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6F9D4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6F9D4"/>
      </patternFill>
    </fill>
    <fill>
      <patternFill patternType="solid">
        <fgColor rgb="FFEDEDED"/>
        <bgColor rgb="FFFBE5D6"/>
      </patternFill>
    </fill>
    <fill>
      <patternFill patternType="solid">
        <fgColor rgb="FFB4C7E7"/>
        <bgColor rgb="FFB4C7DC"/>
      </patternFill>
    </fill>
    <fill>
      <patternFill patternType="solid">
        <fgColor rgb="FFF4B183"/>
        <bgColor rgb="FFFFD966"/>
      </patternFill>
    </fill>
    <fill>
      <patternFill patternType="solid">
        <fgColor rgb="FF77BC65"/>
        <bgColor rgb="FF99CC00"/>
      </patternFill>
    </fill>
    <fill>
      <patternFill patternType="solid">
        <fgColor rgb="FFFFD966"/>
        <bgColor rgb="FFFFE699"/>
      </patternFill>
    </fill>
    <fill>
      <patternFill patternType="solid">
        <fgColor rgb="FFCC99FF"/>
        <bgColor rgb="FFB4C7E7"/>
      </patternFill>
    </fill>
    <fill>
      <patternFill patternType="solid">
        <fgColor rgb="FFBDD7EE"/>
        <bgColor rgb="FFB4C7E7"/>
      </patternFill>
    </fill>
    <fill>
      <patternFill patternType="solid">
        <fgColor rgb="FFFBE5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DE8CB"/>
        <bgColor rgb="FFEDEDED"/>
      </patternFill>
    </fill>
    <fill>
      <patternFill patternType="solid">
        <fgColor rgb="FFB4C7DC"/>
        <bgColor rgb="FFB4C7E7"/>
      </patternFill>
    </fill>
    <fill>
      <patternFill patternType="solid">
        <fgColor rgb="FFF6F9D4"/>
        <bgColor rgb="FFFFF2CC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5" borderId="2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19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11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5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6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6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7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5" fillId="7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7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8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8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9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9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9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9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2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1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1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3F0A8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C5E0B4"/>
      <rgbColor rgb="FF993366"/>
      <rgbColor rgb="FFF6F9D4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CB"/>
      <rgbColor rgb="FFC3F0A8"/>
      <rgbColor rgb="FFFFE699"/>
      <rgbColor rgb="FFB4C7E7"/>
      <rgbColor rgb="FFF4B183"/>
      <rgbColor rgb="FFCC99FF"/>
      <rgbColor rgb="FFFFD966"/>
      <rgbColor rgb="FF2E75B6"/>
      <rgbColor rgb="FF33CCCC"/>
      <rgbColor rgb="FF99CC00"/>
      <rgbColor rgb="FFFBE5D6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E9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2" ySplit="0" topLeftCell="C1" activePane="topRight" state="frozen"/>
      <selection pane="topLeft" activeCell="A1" activeCellId="0" sqref="A1"/>
      <selection pane="topRight" activeCell="A16" activeCellId="0" sqref="A16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9.82"/>
    <col collapsed="false" customWidth="true" hidden="false" outlineLevel="0" max="2" min="2" style="0" width="8.21"/>
    <col collapsed="false" customWidth="true" hidden="false" outlineLevel="0" max="3" min="3" style="0" width="16.14"/>
    <col collapsed="false" customWidth="true" hidden="false" outlineLevel="0" max="61" min="4" style="0" width="3.24"/>
    <col collapsed="false" customWidth="false" hidden="false" outlineLevel="0" max="83" min="62" style="1" width="11.43"/>
  </cols>
  <sheetData>
    <row r="1" customFormat="false" ht="29.85" hidden="false" customHeight="tru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="11" customFormat="true" ht="29.25" hidden="false" customHeight="true" outlineLevel="0" collapsed="false">
      <c r="A2" s="3"/>
      <c r="B2" s="3"/>
      <c r="C2" s="3"/>
      <c r="D2" s="4" t="s">
        <v>1</v>
      </c>
      <c r="E2" s="4"/>
      <c r="F2" s="4"/>
      <c r="G2" s="4"/>
      <c r="H2" s="4"/>
      <c r="I2" s="4"/>
      <c r="J2" s="5" t="s">
        <v>2</v>
      </c>
      <c r="K2" s="5"/>
      <c r="L2" s="5"/>
      <c r="M2" s="5"/>
      <c r="N2" s="5"/>
      <c r="O2" s="5"/>
      <c r="P2" s="5"/>
      <c r="Q2" s="5"/>
      <c r="R2" s="6" t="s">
        <v>3</v>
      </c>
      <c r="S2" s="6"/>
      <c r="T2" s="6"/>
      <c r="U2" s="6"/>
      <c r="V2" s="6"/>
      <c r="W2" s="6"/>
      <c r="X2" s="6"/>
      <c r="Y2" s="6"/>
      <c r="Z2" s="7" t="s">
        <v>4</v>
      </c>
      <c r="AA2" s="7"/>
      <c r="AB2" s="7"/>
      <c r="AC2" s="7"/>
      <c r="AD2" s="7"/>
      <c r="AE2" s="7"/>
      <c r="AF2" s="7"/>
      <c r="AG2" s="7"/>
      <c r="AH2" s="7"/>
      <c r="AI2" s="7"/>
      <c r="AJ2" s="7"/>
      <c r="AK2" s="8" t="s">
        <v>5</v>
      </c>
      <c r="AL2" s="8"/>
      <c r="AM2" s="8"/>
      <c r="AN2" s="8"/>
      <c r="AO2" s="8"/>
      <c r="AP2" s="8"/>
      <c r="AQ2" s="8"/>
      <c r="AR2" s="8"/>
      <c r="AS2" s="9" t="s">
        <v>6</v>
      </c>
      <c r="AT2" s="9"/>
      <c r="AU2" s="9"/>
      <c r="AV2" s="9"/>
      <c r="AW2" s="9"/>
      <c r="AX2" s="9"/>
      <c r="AY2" s="9"/>
      <c r="AZ2" s="9"/>
      <c r="BA2" s="10" t="s">
        <v>7</v>
      </c>
      <c r="BB2" s="10"/>
      <c r="BC2" s="10"/>
      <c r="BD2" s="10"/>
      <c r="BE2" s="10"/>
      <c r="BF2" s="10"/>
      <c r="BG2" s="10"/>
      <c r="BH2" s="10"/>
      <c r="BI2" s="10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customFormat="false" ht="28.1" hidden="false" customHeight="false" outlineLevel="0" collapsed="false">
      <c r="A3" s="12" t="s">
        <v>8</v>
      </c>
      <c r="B3" s="13" t="s">
        <v>9</v>
      </c>
      <c r="C3" s="13" t="s">
        <v>10</v>
      </c>
      <c r="D3" s="14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I3" s="16" t="s">
        <v>16</v>
      </c>
      <c r="J3" s="17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18" t="s">
        <v>17</v>
      </c>
      <c r="Q3" s="19" t="s">
        <v>18</v>
      </c>
      <c r="R3" s="20" t="s">
        <v>11</v>
      </c>
      <c r="S3" s="21" t="s">
        <v>12</v>
      </c>
      <c r="T3" s="21" t="s">
        <v>13</v>
      </c>
      <c r="U3" s="21" t="s">
        <v>14</v>
      </c>
      <c r="V3" s="21" t="s">
        <v>15</v>
      </c>
      <c r="W3" s="21" t="s">
        <v>16</v>
      </c>
      <c r="X3" s="21" t="s">
        <v>17</v>
      </c>
      <c r="Y3" s="22" t="s">
        <v>18</v>
      </c>
      <c r="Z3" s="14" t="s">
        <v>11</v>
      </c>
      <c r="AA3" s="15" t="s">
        <v>12</v>
      </c>
      <c r="AB3" s="15" t="s">
        <v>13</v>
      </c>
      <c r="AC3" s="15" t="s">
        <v>14</v>
      </c>
      <c r="AD3" s="15" t="s">
        <v>15</v>
      </c>
      <c r="AE3" s="15" t="s">
        <v>16</v>
      </c>
      <c r="AF3" s="15" t="s">
        <v>17</v>
      </c>
      <c r="AG3" s="15" t="s">
        <v>18</v>
      </c>
      <c r="AH3" s="15" t="s">
        <v>19</v>
      </c>
      <c r="AI3" s="15" t="s">
        <v>20</v>
      </c>
      <c r="AJ3" s="16" t="s">
        <v>21</v>
      </c>
      <c r="AK3" s="20" t="s">
        <v>11</v>
      </c>
      <c r="AL3" s="21" t="s">
        <v>12</v>
      </c>
      <c r="AM3" s="21" t="s">
        <v>13</v>
      </c>
      <c r="AN3" s="21" t="s">
        <v>14</v>
      </c>
      <c r="AO3" s="21" t="s">
        <v>15</v>
      </c>
      <c r="AP3" s="21" t="s">
        <v>16</v>
      </c>
      <c r="AQ3" s="21" t="s">
        <v>17</v>
      </c>
      <c r="AR3" s="22" t="s">
        <v>18</v>
      </c>
      <c r="AS3" s="20" t="s">
        <v>11</v>
      </c>
      <c r="AT3" s="21" t="s">
        <v>12</v>
      </c>
      <c r="AU3" s="21" t="s">
        <v>13</v>
      </c>
      <c r="AV3" s="21" t="s">
        <v>14</v>
      </c>
      <c r="AW3" s="21" t="s">
        <v>15</v>
      </c>
      <c r="AX3" s="21" t="s">
        <v>16</v>
      </c>
      <c r="AY3" s="21" t="s">
        <v>17</v>
      </c>
      <c r="AZ3" s="22" t="s">
        <v>18</v>
      </c>
      <c r="BA3" s="20" t="s">
        <v>11</v>
      </c>
      <c r="BB3" s="21" t="s">
        <v>12</v>
      </c>
      <c r="BC3" s="21" t="s">
        <v>13</v>
      </c>
      <c r="BD3" s="21" t="s">
        <v>14</v>
      </c>
      <c r="BE3" s="21" t="s">
        <v>15</v>
      </c>
      <c r="BF3" s="21" t="s">
        <v>16</v>
      </c>
      <c r="BG3" s="21" t="s">
        <v>17</v>
      </c>
      <c r="BH3" s="21" t="s">
        <v>18</v>
      </c>
      <c r="BI3" s="22" t="s">
        <v>19</v>
      </c>
    </row>
    <row r="4" customFormat="false" ht="30" hidden="false" customHeight="true" outlineLevel="0" collapsed="false">
      <c r="A4" s="23" t="n">
        <v>1</v>
      </c>
      <c r="B4" s="24" t="s">
        <v>22</v>
      </c>
      <c r="C4" s="25" t="n">
        <v>12</v>
      </c>
      <c r="D4" s="26" t="n">
        <f aca="false">8.3335%</f>
        <v>0.083335</v>
      </c>
      <c r="E4" s="27" t="n">
        <f aca="false">16.667%</f>
        <v>0.16667</v>
      </c>
      <c r="F4" s="27" t="n">
        <f aca="false">16.667%</f>
        <v>0.16667</v>
      </c>
      <c r="G4" s="27" t="n">
        <f aca="false">16.667%</f>
        <v>0.16667</v>
      </c>
      <c r="H4" s="27"/>
      <c r="I4" s="28"/>
      <c r="J4" s="29" t="n">
        <f aca="false">12.5%</f>
        <v>0.125</v>
      </c>
      <c r="K4" s="30"/>
      <c r="L4" s="30"/>
      <c r="M4" s="30"/>
      <c r="N4" s="30"/>
      <c r="O4" s="30"/>
      <c r="P4" s="30"/>
      <c r="Q4" s="31" t="n">
        <f aca="false">12.5%</f>
        <v>0.125</v>
      </c>
      <c r="R4" s="29" t="n">
        <v>0.125</v>
      </c>
      <c r="S4" s="30" t="n">
        <v>0.125</v>
      </c>
      <c r="T4" s="30"/>
      <c r="U4" s="30"/>
      <c r="V4" s="30"/>
      <c r="W4" s="30"/>
      <c r="X4" s="30"/>
      <c r="Y4" s="31"/>
      <c r="Z4" s="26"/>
      <c r="AA4" s="27"/>
      <c r="AB4" s="27"/>
      <c r="AC4" s="27"/>
      <c r="AD4" s="27"/>
      <c r="AE4" s="27"/>
      <c r="AF4" s="27"/>
      <c r="AG4" s="27"/>
      <c r="AH4" s="27"/>
      <c r="AI4" s="27"/>
      <c r="AJ4" s="28"/>
      <c r="AK4" s="29"/>
      <c r="AL4" s="30"/>
      <c r="AM4" s="30"/>
      <c r="AN4" s="30"/>
      <c r="AO4" s="30"/>
      <c r="AP4" s="30"/>
      <c r="AQ4" s="30"/>
      <c r="AR4" s="31"/>
      <c r="AS4" s="29"/>
      <c r="AT4" s="30"/>
      <c r="AU4" s="30"/>
      <c r="AV4" s="30"/>
      <c r="AW4" s="30"/>
      <c r="AX4" s="30"/>
      <c r="AY4" s="30"/>
      <c r="AZ4" s="32"/>
      <c r="BA4" s="29"/>
      <c r="BB4" s="30"/>
      <c r="BC4" s="30"/>
      <c r="BD4" s="30"/>
      <c r="BE4" s="30"/>
      <c r="BF4" s="30"/>
      <c r="BG4" s="30"/>
      <c r="BH4" s="30"/>
      <c r="BI4" s="32"/>
      <c r="BK4" s="33"/>
    </row>
    <row r="5" customFormat="false" ht="30" hidden="false" customHeight="true" outlineLevel="0" collapsed="false">
      <c r="A5" s="23"/>
      <c r="B5" s="34" t="s">
        <v>23</v>
      </c>
      <c r="C5" s="35" t="n">
        <v>18</v>
      </c>
      <c r="D5" s="36" t="n">
        <f aca="false">8.3335%</f>
        <v>0.083335</v>
      </c>
      <c r="E5" s="37"/>
      <c r="F5" s="37"/>
      <c r="G5" s="37"/>
      <c r="H5" s="37" t="n">
        <f aca="false">16.667%</f>
        <v>0.16667</v>
      </c>
      <c r="I5" s="38" t="n">
        <f aca="false">16.667%</f>
        <v>0.16667</v>
      </c>
      <c r="J5" s="36"/>
      <c r="K5" s="37"/>
      <c r="L5" s="37"/>
      <c r="M5" s="37"/>
      <c r="N5" s="37"/>
      <c r="O5" s="37"/>
      <c r="P5" s="37" t="n">
        <f aca="false">4.16%</f>
        <v>0.0416</v>
      </c>
      <c r="Q5" s="38"/>
      <c r="R5" s="36"/>
      <c r="S5" s="37"/>
      <c r="T5" s="37"/>
      <c r="U5" s="37"/>
      <c r="V5" s="37"/>
      <c r="W5" s="37"/>
      <c r="X5" s="37"/>
      <c r="Y5" s="38"/>
      <c r="Z5" s="36"/>
      <c r="AA5" s="37"/>
      <c r="AB5" s="37"/>
      <c r="AC5" s="37"/>
      <c r="AD5" s="37"/>
      <c r="AE5" s="37"/>
      <c r="AF5" s="37"/>
      <c r="AG5" s="37"/>
      <c r="AH5" s="37"/>
      <c r="AI5" s="37"/>
      <c r="AJ5" s="38"/>
      <c r="AK5" s="36"/>
      <c r="AL5" s="37"/>
      <c r="AM5" s="37"/>
      <c r="AN5" s="37"/>
      <c r="AO5" s="37"/>
      <c r="AP5" s="37"/>
      <c r="AQ5" s="37"/>
      <c r="AR5" s="38"/>
      <c r="AS5" s="36"/>
      <c r="AT5" s="37"/>
      <c r="AU5" s="37"/>
      <c r="AV5" s="37"/>
      <c r="AW5" s="37"/>
      <c r="AX5" s="37"/>
      <c r="AY5" s="37"/>
      <c r="AZ5" s="39" t="n">
        <f aca="false">12.5%</f>
        <v>0.125</v>
      </c>
      <c r="BA5" s="36"/>
      <c r="BB5" s="37"/>
      <c r="BC5" s="37"/>
      <c r="BD5" s="37"/>
      <c r="BE5" s="37"/>
      <c r="BF5" s="37"/>
      <c r="BG5" s="37"/>
      <c r="BH5" s="37"/>
      <c r="BI5" s="39"/>
      <c r="BK5" s="33"/>
    </row>
    <row r="6" customFormat="false" ht="30" hidden="false" customHeight="true" outlineLevel="0" collapsed="false">
      <c r="A6" s="23"/>
      <c r="B6" s="34" t="s">
        <v>24</v>
      </c>
      <c r="C6" s="35" t="n">
        <v>42</v>
      </c>
      <c r="D6" s="36"/>
      <c r="E6" s="37"/>
      <c r="F6" s="37"/>
      <c r="G6" s="37"/>
      <c r="H6" s="37"/>
      <c r="I6" s="38"/>
      <c r="J6" s="40"/>
      <c r="K6" s="41" t="n">
        <f aca="false">12.5%</f>
        <v>0.125</v>
      </c>
      <c r="L6" s="41" t="n">
        <f aca="false">12.5%</f>
        <v>0.125</v>
      </c>
      <c r="M6" s="41" t="n">
        <f aca="false">12.5%</f>
        <v>0.125</v>
      </c>
      <c r="N6" s="41" t="n">
        <f aca="false">12.5%</f>
        <v>0.125</v>
      </c>
      <c r="O6" s="41" t="n">
        <f aca="false">12.5%</f>
        <v>0.125</v>
      </c>
      <c r="P6" s="41" t="n">
        <f aca="false">4.16%</f>
        <v>0.0416</v>
      </c>
      <c r="Q6" s="42"/>
      <c r="R6" s="40"/>
      <c r="S6" s="41"/>
      <c r="T6" s="41"/>
      <c r="U6" s="41"/>
      <c r="V6" s="41"/>
      <c r="W6" s="41"/>
      <c r="X6" s="41"/>
      <c r="Y6" s="42"/>
      <c r="Z6" s="40" t="n">
        <f aca="false">1/11</f>
        <v>0.0909090909090909</v>
      </c>
      <c r="AA6" s="41" t="n">
        <f aca="false">1/11</f>
        <v>0.0909090909090909</v>
      </c>
      <c r="AB6" s="41" t="n">
        <f aca="false">1/11</f>
        <v>0.0909090909090909</v>
      </c>
      <c r="AC6" s="41" t="n">
        <f aca="false">1/11</f>
        <v>0.0909090909090909</v>
      </c>
      <c r="AD6" s="41" t="n">
        <f aca="false">1/11</f>
        <v>0.0909090909090909</v>
      </c>
      <c r="AE6" s="41" t="n">
        <f aca="false">1/11</f>
        <v>0.0909090909090909</v>
      </c>
      <c r="AF6" s="41" t="n">
        <f aca="false">1/11</f>
        <v>0.0909090909090909</v>
      </c>
      <c r="AG6" s="41" t="n">
        <f aca="false">1/11</f>
        <v>0.0909090909090909</v>
      </c>
      <c r="AH6" s="41" t="n">
        <f aca="false">1/11</f>
        <v>0.0909090909090909</v>
      </c>
      <c r="AI6" s="41" t="n">
        <f aca="false">1/11</f>
        <v>0.0909090909090909</v>
      </c>
      <c r="AJ6" s="42" t="n">
        <f aca="false">1/22</f>
        <v>0.0454545454545455</v>
      </c>
      <c r="AK6" s="40"/>
      <c r="AL6" s="41"/>
      <c r="AM6" s="41"/>
      <c r="AN6" s="41"/>
      <c r="AO6" s="41"/>
      <c r="AP6" s="41"/>
      <c r="AQ6" s="41"/>
      <c r="AR6" s="42"/>
      <c r="AS6" s="40"/>
      <c r="AT6" s="41"/>
      <c r="AU6" s="41"/>
      <c r="AV6" s="41"/>
      <c r="AW6" s="41"/>
      <c r="AX6" s="41"/>
      <c r="AY6" s="41"/>
      <c r="AZ6" s="43"/>
      <c r="BA6" s="40"/>
      <c r="BB6" s="41"/>
      <c r="BC6" s="41"/>
      <c r="BD6" s="41"/>
      <c r="BE6" s="41"/>
      <c r="BF6" s="41"/>
      <c r="BG6" s="41"/>
      <c r="BH6" s="41"/>
      <c r="BI6" s="43"/>
      <c r="BK6" s="33"/>
    </row>
    <row r="7" customFormat="false" ht="30" hidden="false" customHeight="true" outlineLevel="0" collapsed="false">
      <c r="A7" s="44" t="n">
        <v>2</v>
      </c>
      <c r="B7" s="45" t="n">
        <v>4</v>
      </c>
      <c r="C7" s="46" t="n">
        <v>36</v>
      </c>
      <c r="D7" s="47"/>
      <c r="E7" s="48"/>
      <c r="F7" s="48"/>
      <c r="G7" s="48"/>
      <c r="H7" s="48"/>
      <c r="I7" s="49"/>
      <c r="J7" s="29"/>
      <c r="K7" s="30"/>
      <c r="L7" s="30"/>
      <c r="M7" s="30"/>
      <c r="N7" s="30"/>
      <c r="O7" s="30"/>
      <c r="P7" s="30"/>
      <c r="Q7" s="31"/>
      <c r="R7" s="29"/>
      <c r="S7" s="30"/>
      <c r="T7" s="30" t="n">
        <v>0.125</v>
      </c>
      <c r="U7" s="30" t="n">
        <v>0.125</v>
      </c>
      <c r="V7" s="30" t="n">
        <v>0.125</v>
      </c>
      <c r="W7" s="30"/>
      <c r="X7" s="30" t="n">
        <v>0.125</v>
      </c>
      <c r="Y7" s="31" t="n">
        <f aca="false">6.25%</f>
        <v>0.0625</v>
      </c>
      <c r="Z7" s="29"/>
      <c r="AA7" s="30"/>
      <c r="AB7" s="30"/>
      <c r="AC7" s="30"/>
      <c r="AD7" s="30"/>
      <c r="AE7" s="30"/>
      <c r="AF7" s="30"/>
      <c r="AG7" s="30"/>
      <c r="AH7" s="30"/>
      <c r="AI7" s="30"/>
      <c r="AJ7" s="31"/>
      <c r="AK7" s="29" t="n">
        <f aca="false">12.5%</f>
        <v>0.125</v>
      </c>
      <c r="AL7" s="30" t="n">
        <f aca="false">12.5%</f>
        <v>0.125</v>
      </c>
      <c r="AM7" s="30" t="n">
        <f aca="false">12.5%</f>
        <v>0.125</v>
      </c>
      <c r="AN7" s="30" t="n">
        <f aca="false">12.5%</f>
        <v>0.125</v>
      </c>
      <c r="AO7" s="30" t="n">
        <f aca="false">12.5%</f>
        <v>0.125</v>
      </c>
      <c r="AP7" s="30" t="n">
        <f aca="false">12.5%</f>
        <v>0.125</v>
      </c>
      <c r="AQ7" s="30" t="n">
        <f aca="false">12.5%</f>
        <v>0.125</v>
      </c>
      <c r="AR7" s="31" t="n">
        <f aca="false">6.25%</f>
        <v>0.0625</v>
      </c>
      <c r="AS7" s="29" t="n">
        <f aca="false">12.5%</f>
        <v>0.125</v>
      </c>
      <c r="AT7" s="30" t="n">
        <f aca="false">12.5%</f>
        <v>0.125</v>
      </c>
      <c r="AU7" s="30" t="n">
        <f aca="false">12.5%</f>
        <v>0.125</v>
      </c>
      <c r="AV7" s="30" t="n">
        <f aca="false">12.5%</f>
        <v>0.125</v>
      </c>
      <c r="AW7" s="30" t="n">
        <f aca="false">12.5%</f>
        <v>0.125</v>
      </c>
      <c r="AX7" s="30"/>
      <c r="AY7" s="30"/>
      <c r="AZ7" s="32"/>
      <c r="BA7" s="29"/>
      <c r="BB7" s="30"/>
      <c r="BC7" s="30"/>
      <c r="BD7" s="30"/>
      <c r="BE7" s="30"/>
      <c r="BF7" s="30"/>
      <c r="BG7" s="30"/>
      <c r="BH7" s="30"/>
      <c r="BI7" s="32"/>
      <c r="BK7" s="33"/>
    </row>
    <row r="8" customFormat="false" ht="30" hidden="false" customHeight="true" outlineLevel="0" collapsed="false">
      <c r="A8" s="44"/>
      <c r="B8" s="34" t="s">
        <v>25</v>
      </c>
      <c r="C8" s="35" t="n">
        <v>24</v>
      </c>
      <c r="D8" s="50"/>
      <c r="E8" s="51"/>
      <c r="F8" s="51"/>
      <c r="G8" s="51"/>
      <c r="H8" s="51"/>
      <c r="I8" s="52"/>
      <c r="J8" s="36"/>
      <c r="K8" s="37"/>
      <c r="L8" s="37"/>
      <c r="M8" s="37"/>
      <c r="N8" s="37"/>
      <c r="O8" s="37"/>
      <c r="P8" s="37" t="n">
        <f aca="false">4.16%</f>
        <v>0.0416</v>
      </c>
      <c r="Q8" s="38"/>
      <c r="R8" s="36"/>
      <c r="S8" s="37"/>
      <c r="T8" s="37"/>
      <c r="U8" s="37"/>
      <c r="V8" s="37"/>
      <c r="W8" s="37"/>
      <c r="X8" s="37"/>
      <c r="Y8" s="38" t="n">
        <v>0.0625</v>
      </c>
      <c r="Z8" s="36"/>
      <c r="AA8" s="37"/>
      <c r="AB8" s="37"/>
      <c r="AC8" s="37"/>
      <c r="AD8" s="37"/>
      <c r="AE8" s="37"/>
      <c r="AF8" s="37"/>
      <c r="AG8" s="37"/>
      <c r="AH8" s="37"/>
      <c r="AI8" s="37"/>
      <c r="AJ8" s="38" t="n">
        <f aca="false">1/22</f>
        <v>0.0454545454545455</v>
      </c>
      <c r="AK8" s="36"/>
      <c r="AL8" s="37"/>
      <c r="AM8" s="37"/>
      <c r="AN8" s="37"/>
      <c r="AO8" s="37"/>
      <c r="AP8" s="37"/>
      <c r="AQ8" s="37"/>
      <c r="AR8" s="38" t="n">
        <f aca="false">6.25%</f>
        <v>0.0625</v>
      </c>
      <c r="AS8" s="36"/>
      <c r="AT8" s="37"/>
      <c r="AU8" s="37"/>
      <c r="AV8" s="37"/>
      <c r="AW8" s="37"/>
      <c r="AX8" s="37"/>
      <c r="AY8" s="37"/>
      <c r="AZ8" s="39"/>
      <c r="BA8" s="36" t="n">
        <f aca="false">11.11%</f>
        <v>0.1111</v>
      </c>
      <c r="BB8" s="37" t="n">
        <f aca="false">11.11%</f>
        <v>0.1111</v>
      </c>
      <c r="BC8" s="37" t="n">
        <f aca="false">11.11%</f>
        <v>0.1111</v>
      </c>
      <c r="BD8" s="37" t="n">
        <f aca="false">11.11%</f>
        <v>0.1111</v>
      </c>
      <c r="BE8" s="37" t="n">
        <f aca="false">11.11%</f>
        <v>0.1111</v>
      </c>
      <c r="BF8" s="37" t="n">
        <f aca="false">11.11%</f>
        <v>0.1111</v>
      </c>
      <c r="BG8" s="37"/>
      <c r="BH8" s="37" t="n">
        <f aca="false">11.11%</f>
        <v>0.1111</v>
      </c>
      <c r="BI8" s="39" t="n">
        <f aca="false">11.11%</f>
        <v>0.1111</v>
      </c>
      <c r="BK8" s="33"/>
    </row>
    <row r="9" customFormat="false" ht="30" hidden="false" customHeight="true" outlineLevel="0" collapsed="false">
      <c r="A9" s="53" t="s">
        <v>26</v>
      </c>
      <c r="B9" s="53"/>
      <c r="C9" s="53"/>
      <c r="D9" s="50"/>
      <c r="E9" s="51"/>
      <c r="F9" s="51"/>
      <c r="G9" s="51"/>
      <c r="H9" s="51"/>
      <c r="I9" s="52"/>
      <c r="J9" s="36"/>
      <c r="K9" s="37"/>
      <c r="L9" s="37"/>
      <c r="M9" s="37"/>
      <c r="N9" s="37"/>
      <c r="O9" s="37"/>
      <c r="P9" s="37"/>
      <c r="Q9" s="38"/>
      <c r="R9" s="36"/>
      <c r="S9" s="37"/>
      <c r="T9" s="37"/>
      <c r="U9" s="37"/>
      <c r="V9" s="37"/>
      <c r="W9" s="37" t="n">
        <f aca="false">12.5%</f>
        <v>0.125</v>
      </c>
      <c r="X9" s="37"/>
      <c r="Y9" s="38"/>
      <c r="Z9" s="36"/>
      <c r="AA9" s="37"/>
      <c r="AB9" s="37"/>
      <c r="AC9" s="37"/>
      <c r="AD9" s="37"/>
      <c r="AE9" s="37"/>
      <c r="AF9" s="37"/>
      <c r="AG9" s="37"/>
      <c r="AH9" s="37"/>
      <c r="AI9" s="37"/>
      <c r="AJ9" s="38"/>
      <c r="AK9" s="36"/>
      <c r="AL9" s="37"/>
      <c r="AM9" s="37"/>
      <c r="AN9" s="37"/>
      <c r="AO9" s="37"/>
      <c r="AP9" s="37"/>
      <c r="AQ9" s="37"/>
      <c r="AR9" s="38"/>
      <c r="AS9" s="36"/>
      <c r="AT9" s="37"/>
      <c r="AU9" s="37"/>
      <c r="AV9" s="37"/>
      <c r="AW9" s="37"/>
      <c r="AX9" s="37" t="n">
        <f aca="false">12.5%</f>
        <v>0.125</v>
      </c>
      <c r="AY9" s="37" t="n">
        <f aca="false">12.5%</f>
        <v>0.125</v>
      </c>
      <c r="AZ9" s="39"/>
      <c r="BA9" s="36"/>
      <c r="BB9" s="37"/>
      <c r="BC9" s="37"/>
      <c r="BD9" s="37"/>
      <c r="BE9" s="37"/>
      <c r="BF9" s="37"/>
      <c r="BG9" s="37" t="n">
        <f aca="false">11.11%</f>
        <v>0.1111</v>
      </c>
      <c r="BH9" s="37"/>
      <c r="BI9" s="39"/>
      <c r="BK9" s="33"/>
    </row>
    <row r="10" s="1" customFormat="true" ht="13.8" hidden="false" customHeight="false" outlineLevel="0" collapsed="false"/>
    <row r="11" customFormat="false" ht="13.8" hidden="false" customHeight="false" outlineLevel="0" collapsed="false">
      <c r="A11" s="54" t="s">
        <v>27</v>
      </c>
      <c r="B11" s="54"/>
      <c r="C11" s="54"/>
      <c r="D11" s="55" t="n">
        <f aca="false">SUM(D4:I8)/7</f>
        <v>0.14286</v>
      </c>
      <c r="E11" s="55"/>
      <c r="F11" s="55"/>
      <c r="G11" s="55"/>
      <c r="H11" s="55"/>
      <c r="I11" s="55"/>
      <c r="J11" s="56" t="n">
        <f aca="false">SUM(J4:Q8)/7</f>
        <v>0.142828571428571</v>
      </c>
      <c r="K11" s="56"/>
      <c r="L11" s="56"/>
      <c r="M11" s="56"/>
      <c r="N11" s="56"/>
      <c r="O11" s="56"/>
      <c r="P11" s="56"/>
      <c r="Q11" s="56"/>
      <c r="R11" s="57" t="n">
        <f aca="false">SUM(R4:Y9)/7</f>
        <v>0.142857142857143</v>
      </c>
      <c r="S11" s="57"/>
      <c r="T11" s="57"/>
      <c r="U11" s="57"/>
      <c r="V11" s="57"/>
      <c r="W11" s="57"/>
      <c r="X11" s="57"/>
      <c r="Y11" s="57"/>
      <c r="Z11" s="58" t="n">
        <f aca="false">SUM(Z4:AJ8)/7</f>
        <v>0.142857142857143</v>
      </c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9" t="n">
        <f aca="false">SUM(AK4:AR8)/7</f>
        <v>0.142857142857143</v>
      </c>
      <c r="AL11" s="59"/>
      <c r="AM11" s="59"/>
      <c r="AN11" s="59"/>
      <c r="AO11" s="59"/>
      <c r="AP11" s="59"/>
      <c r="AQ11" s="59"/>
      <c r="AR11" s="59"/>
      <c r="AS11" s="60" t="n">
        <f aca="false">SUM(AS4:AZ9)/7</f>
        <v>0.142857142857143</v>
      </c>
      <c r="AT11" s="60"/>
      <c r="AU11" s="60"/>
      <c r="AV11" s="60"/>
      <c r="AW11" s="60"/>
      <c r="AX11" s="60"/>
      <c r="AY11" s="60"/>
      <c r="AZ11" s="60"/>
      <c r="BA11" s="61" t="n">
        <f aca="false">SUM(BA4:BI9)/7</f>
        <v>0.142842857142857</v>
      </c>
      <c r="BB11" s="61"/>
      <c r="BC11" s="61"/>
      <c r="BD11" s="61"/>
      <c r="BE11" s="61"/>
      <c r="BF11" s="61"/>
      <c r="BG11" s="61"/>
      <c r="BH11" s="61"/>
      <c r="BI11" s="61"/>
      <c r="BK11" s="33"/>
    </row>
    <row r="12" s="1" customFormat="true" ht="13.8" hidden="false" customHeight="false" outlineLevel="0" collapsed="false"/>
    <row r="13" s="1" customFormat="true" ht="13.8" hidden="false" customHeight="false" outlineLevel="0" collapsed="false"/>
    <row r="14" s="1" customFormat="true" ht="13.8" hidden="false" customHeight="false" outlineLevel="0" collapsed="false"/>
    <row r="15" s="1" customFormat="true" ht="13.8" hidden="false" customHeight="false" outlineLevel="0" collapsed="false"/>
    <row r="16" s="1" customFormat="true" ht="13.8" hidden="false" customHeight="false" outlineLevel="0" collapsed="false"/>
    <row r="17" s="1" customFormat="true" ht="13.8" hidden="false" customHeight="false" outlineLevel="0" collapsed="false"/>
    <row r="18" s="1" customFormat="true" ht="13.8" hidden="false" customHeight="false" outlineLevel="0" collapsed="false"/>
    <row r="19" s="1" customFormat="true" ht="13.8" hidden="false" customHeight="false" outlineLevel="0" collapsed="false"/>
    <row r="20" s="1" customFormat="true" ht="13.8" hidden="false" customHeight="false" outlineLevel="0" collapsed="false"/>
    <row r="21" s="1" customFormat="true" ht="13.8" hidden="false" customHeight="false" outlineLevel="0" collapsed="false"/>
    <row r="22" s="1" customFormat="true" ht="13.8" hidden="false" customHeight="false" outlineLevel="0" collapsed="false"/>
    <row r="23" s="1" customFormat="true" ht="13.8" hidden="false" customHeight="false" outlineLevel="0" collapsed="false"/>
    <row r="24" s="1" customFormat="true" ht="13.8" hidden="false" customHeight="false" outlineLevel="0" collapsed="false"/>
    <row r="25" s="1" customFormat="true" ht="13.8" hidden="false" customHeight="false" outlineLevel="0" collapsed="false"/>
    <row r="26" s="1" customFormat="true" ht="13.8" hidden="false" customHeight="false" outlineLevel="0" collapsed="false"/>
    <row r="27" s="1" customFormat="true" ht="13.8" hidden="false" customHeight="false" outlineLevel="0" collapsed="false"/>
    <row r="28" s="1" customFormat="true" ht="13.8" hidden="false" customHeight="false" outlineLevel="0" collapsed="false"/>
    <row r="29" s="1" customFormat="true" ht="13.8" hidden="false" customHeight="false" outlineLevel="0" collapsed="false"/>
    <row r="30" s="1" customFormat="true" ht="13.8" hidden="false" customHeight="false" outlineLevel="0" collapsed="false"/>
    <row r="31" s="1" customFormat="true" ht="13.8" hidden="false" customHeight="false" outlineLevel="0" collapsed="false"/>
    <row r="32" s="1" customFormat="true" ht="13.8" hidden="false" customHeight="false" outlineLevel="0" collapsed="false"/>
    <row r="33" s="1" customFormat="true" ht="13.8" hidden="false" customHeight="false" outlineLevel="0" collapsed="false"/>
    <row r="34" s="1" customFormat="true" ht="13.8" hidden="false" customHeight="false" outlineLevel="0" collapsed="false"/>
    <row r="35" s="1" customFormat="true" ht="13.8" hidden="false" customHeight="false" outlineLevel="0" collapsed="false"/>
    <row r="36" s="1" customFormat="true" ht="13.8" hidden="false" customHeight="false" outlineLevel="0" collapsed="false"/>
    <row r="37" s="1" customFormat="true" ht="13.8" hidden="false" customHeight="false" outlineLevel="0" collapsed="false"/>
    <row r="38" s="1" customFormat="true" ht="13.8" hidden="false" customHeight="false" outlineLevel="0" collapsed="false"/>
    <row r="39" s="1" customFormat="true" ht="13.8" hidden="false" customHeight="false" outlineLevel="0" collapsed="false"/>
    <row r="40" s="1" customFormat="true" ht="13.8" hidden="false" customHeight="false" outlineLevel="0" collapsed="false"/>
    <row r="41" s="1" customFormat="true" ht="13.8" hidden="false" customHeight="false" outlineLevel="0" collapsed="false"/>
    <row r="42" s="1" customFormat="true" ht="13.8" hidden="false" customHeight="false" outlineLevel="0" collapsed="false"/>
    <row r="43" s="1" customFormat="true" ht="13.8" hidden="false" customHeight="false" outlineLevel="0" collapsed="false"/>
    <row r="44" s="1" customFormat="true" ht="13.8" hidden="false" customHeight="false" outlineLevel="0" collapsed="false"/>
    <row r="45" s="1" customFormat="true" ht="13.8" hidden="false" customHeight="false" outlineLevel="0" collapsed="false"/>
    <row r="46" s="1" customFormat="true" ht="13.8" hidden="false" customHeight="false" outlineLevel="0" collapsed="false"/>
    <row r="47" s="1" customFormat="true" ht="13.8" hidden="false" customHeight="false" outlineLevel="0" collapsed="false"/>
    <row r="48" s="1" customFormat="true" ht="13.8" hidden="false" customHeight="false" outlineLevel="0" collapsed="false"/>
    <row r="49" s="1" customFormat="true" ht="13.8" hidden="false" customHeight="false" outlineLevel="0" collapsed="false"/>
    <row r="50" s="1" customFormat="true" ht="13.8" hidden="false" customHeight="false" outlineLevel="0" collapsed="false"/>
    <row r="51" s="1" customFormat="true" ht="13.8" hidden="false" customHeight="false" outlineLevel="0" collapsed="false"/>
    <row r="52" s="1" customFormat="true" ht="13.8" hidden="false" customHeight="false" outlineLevel="0" collapsed="false"/>
    <row r="53" s="1" customFormat="true" ht="13.8" hidden="false" customHeight="false" outlineLevel="0" collapsed="false"/>
    <row r="54" s="1" customFormat="true" ht="13.8" hidden="false" customHeight="false" outlineLevel="0" collapsed="false"/>
    <row r="55" s="1" customFormat="true" ht="13.8" hidden="false" customHeight="false" outlineLevel="0" collapsed="false"/>
    <row r="56" s="1" customFormat="true" ht="13.8" hidden="false" customHeight="false" outlineLevel="0" collapsed="false"/>
    <row r="57" s="1" customFormat="true" ht="13.8" hidden="false" customHeight="false" outlineLevel="0" collapsed="false"/>
    <row r="58" s="1" customFormat="true" ht="13.8" hidden="false" customHeight="false" outlineLevel="0" collapsed="false"/>
    <row r="59" s="1" customFormat="true" ht="13.8" hidden="false" customHeight="false" outlineLevel="0" collapsed="false"/>
    <row r="60" s="1" customFormat="true" ht="13.8" hidden="false" customHeight="false" outlineLevel="0" collapsed="false"/>
    <row r="61" s="1" customFormat="true" ht="13.8" hidden="false" customHeight="false" outlineLevel="0" collapsed="false"/>
    <row r="62" s="1" customFormat="true" ht="13.8" hidden="false" customHeight="false" outlineLevel="0" collapsed="false"/>
    <row r="63" s="1" customFormat="true" ht="13.8" hidden="false" customHeight="false" outlineLevel="0" collapsed="false"/>
    <row r="64" s="1" customFormat="true" ht="13.8" hidden="false" customHeight="false" outlineLevel="0" collapsed="false"/>
    <row r="65" s="1" customFormat="true" ht="13.8" hidden="false" customHeight="false" outlineLevel="0" collapsed="false"/>
    <row r="66" s="1" customFormat="true" ht="13.8" hidden="false" customHeight="false" outlineLevel="0" collapsed="false"/>
    <row r="67" s="1" customFormat="true" ht="13.8" hidden="false" customHeight="false" outlineLevel="0" collapsed="false"/>
    <row r="68" s="1" customFormat="true" ht="13.8" hidden="false" customHeight="false" outlineLevel="0" collapsed="false"/>
    <row r="69" s="1" customFormat="true" ht="13.8" hidden="false" customHeight="false" outlineLevel="0" collapsed="false"/>
    <row r="70" s="1" customFormat="true" ht="13.8" hidden="false" customHeight="false" outlineLevel="0" collapsed="false"/>
    <row r="71" s="1" customFormat="true" ht="13.8" hidden="false" customHeight="false" outlineLevel="0" collapsed="false"/>
    <row r="72" s="1" customFormat="true" ht="13.8" hidden="false" customHeight="false" outlineLevel="0" collapsed="false"/>
    <row r="73" s="1" customFormat="true" ht="13.8" hidden="false" customHeight="false" outlineLevel="0" collapsed="false"/>
    <row r="74" s="1" customFormat="true" ht="13.8" hidden="false" customHeight="false" outlineLevel="0" collapsed="false"/>
    <row r="75" s="1" customFormat="true" ht="13.8" hidden="false" customHeight="false" outlineLevel="0" collapsed="false"/>
    <row r="76" s="1" customFormat="true" ht="13.8" hidden="false" customHeight="false" outlineLevel="0" collapsed="false"/>
    <row r="77" s="1" customFormat="true" ht="13.8" hidden="false" customHeight="false" outlineLevel="0" collapsed="false"/>
    <row r="78" s="1" customFormat="true" ht="13.8" hidden="false" customHeight="false" outlineLevel="0" collapsed="false"/>
    <row r="79" s="1" customFormat="true" ht="13.8" hidden="false" customHeight="false" outlineLevel="0" collapsed="false"/>
    <row r="80" s="1" customFormat="true" ht="13.8" hidden="false" customHeight="false" outlineLevel="0" collapsed="false"/>
    <row r="81" s="1" customFormat="true" ht="13.8" hidden="false" customHeight="false" outlineLevel="0" collapsed="false"/>
    <row r="82" s="1" customFormat="true" ht="13.8" hidden="false" customHeight="false" outlineLevel="0" collapsed="false"/>
    <row r="83" s="1" customFormat="true" ht="13.8" hidden="false" customHeight="false" outlineLevel="0" collapsed="false"/>
    <row r="84" s="1" customFormat="true" ht="13.8" hidden="false" customHeight="false" outlineLevel="0" collapsed="false"/>
    <row r="85" s="1" customFormat="true" ht="13.8" hidden="false" customHeight="false" outlineLevel="0" collapsed="false"/>
    <row r="86" s="1" customFormat="true" ht="13.8" hidden="false" customHeight="false" outlineLevel="0" collapsed="false"/>
    <row r="87" s="1" customFormat="true" ht="13.8" hidden="false" customHeight="false" outlineLevel="0" collapsed="false"/>
    <row r="88" s="1" customFormat="true" ht="13.8" hidden="false" customHeight="false" outlineLevel="0" collapsed="false"/>
    <row r="89" s="1" customFormat="true" ht="13.8" hidden="false" customHeight="false" outlineLevel="0" collapsed="false"/>
    <row r="90" s="1" customFormat="true" ht="13.8" hidden="false" customHeight="false" outlineLevel="0" collapsed="false"/>
    <row r="91" s="1" customFormat="true" ht="13.8" hidden="false" customHeight="false" outlineLevel="0" collapsed="false"/>
    <row r="92" s="1" customFormat="true" ht="13.8" hidden="false" customHeight="false" outlineLevel="0" collapsed="false"/>
    <row r="93" s="1" customFormat="true" ht="13.8" hidden="false" customHeight="false" outlineLevel="0" collapsed="false"/>
    <row r="94" s="1" customFormat="true" ht="13.8" hidden="false" customHeight="false" outlineLevel="0" collapsed="false"/>
    <row r="95" s="1" customFormat="true" ht="13.8" hidden="false" customHeight="false" outlineLevel="0" collapsed="false"/>
    <row r="96" s="1" customFormat="true" ht="13.8" hidden="false" customHeight="false" outlineLevel="0" collapsed="false"/>
  </sheetData>
  <mergeCells count="19">
    <mergeCell ref="D1:BI1"/>
    <mergeCell ref="D2:I2"/>
    <mergeCell ref="J2:Q2"/>
    <mergeCell ref="R2:Y2"/>
    <mergeCell ref="Z2:AJ2"/>
    <mergeCell ref="AK2:AR2"/>
    <mergeCell ref="AS2:AZ2"/>
    <mergeCell ref="BA2:BI2"/>
    <mergeCell ref="A4:A6"/>
    <mergeCell ref="A7:A8"/>
    <mergeCell ref="A9:C9"/>
    <mergeCell ref="A11:C11"/>
    <mergeCell ref="D11:I11"/>
    <mergeCell ref="J11:Q11"/>
    <mergeCell ref="R11:Y11"/>
    <mergeCell ref="Z11:AJ11"/>
    <mergeCell ref="AK11:AR11"/>
    <mergeCell ref="AS11:AZ11"/>
    <mergeCell ref="BA11:BI11"/>
  </mergeCells>
  <conditionalFormatting sqref="D4:BI9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7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0" activeCellId="0" sqref="D20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2.8"/>
    <col collapsed="false" customWidth="true" hidden="false" outlineLevel="0" max="2" min="2" style="0" width="13.43"/>
    <col collapsed="false" customWidth="true" hidden="false" outlineLevel="0" max="3" min="3" style="0" width="14.57"/>
    <col collapsed="false" customWidth="true" hidden="false" outlineLevel="0" max="4" min="4" style="1" width="2.28"/>
    <col collapsed="false" customWidth="true" hidden="false" outlineLevel="0" max="5" min="5" style="0" width="10.85"/>
    <col collapsed="false" customWidth="true" hidden="false" outlineLevel="0" max="6" min="6" style="0" width="12.28"/>
    <col collapsed="false" customWidth="true" hidden="false" outlineLevel="0" max="7" min="7" style="1" width="2.43"/>
    <col collapsed="false" customWidth="true" hidden="false" outlineLevel="0" max="8" min="8" style="0" width="10.85"/>
    <col collapsed="false" customWidth="true" hidden="false" outlineLevel="0" max="9" min="9" style="0" width="12.28"/>
    <col collapsed="false" customWidth="true" hidden="false" outlineLevel="0" max="10" min="10" style="1" width="2.57"/>
    <col collapsed="false" customWidth="true" hidden="false" outlineLevel="0" max="11" min="11" style="0" width="10.85"/>
    <col collapsed="false" customWidth="true" hidden="false" outlineLevel="0" max="12" min="12" style="0" width="12.28"/>
    <col collapsed="false" customWidth="true" hidden="false" outlineLevel="0" max="13" min="13" style="1" width="2.57"/>
    <col collapsed="false" customWidth="true" hidden="false" outlineLevel="0" max="14" min="14" style="0" width="10.85"/>
    <col collapsed="false" customWidth="true" hidden="false" outlineLevel="0" max="15" min="15" style="0" width="12.28"/>
    <col collapsed="false" customWidth="true" hidden="false" outlineLevel="0" max="16" min="16" style="1" width="2.57"/>
    <col collapsed="false" customWidth="true" hidden="false" outlineLevel="0" max="17" min="17" style="0" width="10.85"/>
    <col collapsed="false" customWidth="true" hidden="false" outlineLevel="0" max="18" min="18" style="0" width="12.28"/>
    <col collapsed="false" customWidth="true" hidden="false" outlineLevel="0" max="19" min="19" style="1" width="2.71"/>
    <col collapsed="false" customWidth="true" hidden="false" outlineLevel="0" max="20" min="20" style="0" width="10.85"/>
    <col collapsed="false" customWidth="true" hidden="false" outlineLevel="0" max="21" min="21" style="0" width="12.28"/>
    <col collapsed="false" customWidth="true" hidden="false" outlineLevel="0" max="22" min="22" style="1" width="2.47"/>
    <col collapsed="false" customWidth="true" hidden="false" outlineLevel="0" max="23" min="23" style="0" width="10.85"/>
    <col collapsed="false" customWidth="true" hidden="false" outlineLevel="0" max="24" min="24" style="0" width="12.28"/>
    <col collapsed="false" customWidth="false" hidden="false" outlineLevel="0" max="42" min="25" style="1" width="11.43"/>
  </cols>
  <sheetData>
    <row r="1" s="1" customFormat="true" ht="13.8" hidden="false" customHeight="false" outlineLevel="0" collapsed="false"/>
    <row r="2" customFormat="false" ht="45" hidden="false" customHeight="true" outlineLevel="0" collapsed="false">
      <c r="B2" s="35" t="s">
        <v>28</v>
      </c>
      <c r="C2" s="62" t="s">
        <v>29</v>
      </c>
      <c r="E2" s="63" t="s">
        <v>30</v>
      </c>
      <c r="F2" s="62" t="s">
        <v>31</v>
      </c>
      <c r="H2" s="63" t="s">
        <v>30</v>
      </c>
      <c r="I2" s="62" t="s">
        <v>31</v>
      </c>
      <c r="K2" s="63" t="s">
        <v>30</v>
      </c>
      <c r="L2" s="62" t="s">
        <v>31</v>
      </c>
      <c r="N2" s="64" t="s">
        <v>30</v>
      </c>
      <c r="O2" s="65" t="s">
        <v>31</v>
      </c>
      <c r="Q2" s="63" t="s">
        <v>30</v>
      </c>
      <c r="R2" s="62" t="s">
        <v>31</v>
      </c>
      <c r="T2" s="63" t="s">
        <v>30</v>
      </c>
      <c r="U2" s="62" t="s">
        <v>31</v>
      </c>
      <c r="W2" s="64" t="s">
        <v>30</v>
      </c>
      <c r="X2" s="65" t="s">
        <v>31</v>
      </c>
    </row>
    <row r="3" customFormat="false" ht="13.8" hidden="false" customHeight="false" outlineLevel="0" collapsed="false">
      <c r="B3" s="35"/>
      <c r="C3" s="62"/>
      <c r="D3" s="66"/>
      <c r="E3" s="63"/>
      <c r="F3" s="62"/>
      <c r="H3" s="63"/>
      <c r="I3" s="62"/>
      <c r="J3" s="67"/>
      <c r="K3" s="63"/>
      <c r="L3" s="62"/>
      <c r="M3" s="67"/>
      <c r="N3" s="68" t="s">
        <v>11</v>
      </c>
      <c r="O3" s="69" t="n">
        <f aca="false">1/11</f>
        <v>0.0909090909090909</v>
      </c>
      <c r="P3" s="67"/>
      <c r="Q3" s="63"/>
      <c r="R3" s="62"/>
      <c r="S3" s="67"/>
      <c r="T3" s="63"/>
      <c r="U3" s="62"/>
      <c r="V3" s="67"/>
      <c r="W3" s="64"/>
      <c r="X3" s="65"/>
    </row>
    <row r="4" customFormat="false" ht="13.8" hidden="false" customHeight="false" outlineLevel="0" collapsed="false">
      <c r="B4" s="35"/>
      <c r="C4" s="62"/>
      <c r="E4" s="63"/>
      <c r="F4" s="62"/>
      <c r="G4" s="67"/>
      <c r="H4" s="63"/>
      <c r="I4" s="62"/>
      <c r="J4" s="67"/>
      <c r="K4" s="63"/>
      <c r="L4" s="62"/>
      <c r="M4" s="67"/>
      <c r="N4" s="70" t="s">
        <v>12</v>
      </c>
      <c r="O4" s="69" t="n">
        <f aca="false">1/11</f>
        <v>0.0909090909090909</v>
      </c>
      <c r="P4" s="67"/>
      <c r="Q4" s="63"/>
      <c r="R4" s="62"/>
      <c r="S4" s="67"/>
      <c r="T4" s="63"/>
      <c r="U4" s="62"/>
      <c r="V4" s="67"/>
      <c r="W4" s="64"/>
      <c r="X4" s="65"/>
    </row>
    <row r="5" customFormat="false" ht="13.8" hidden="false" customHeight="false" outlineLevel="0" collapsed="false">
      <c r="B5" s="35"/>
      <c r="C5" s="62"/>
      <c r="E5" s="63"/>
      <c r="F5" s="62"/>
      <c r="G5" s="67"/>
      <c r="H5" s="63"/>
      <c r="I5" s="62"/>
      <c r="J5" s="67"/>
      <c r="K5" s="63"/>
      <c r="L5" s="62"/>
      <c r="M5" s="67"/>
      <c r="N5" s="70" t="s">
        <v>13</v>
      </c>
      <c r="O5" s="69" t="n">
        <f aca="false">1/11</f>
        <v>0.0909090909090909</v>
      </c>
      <c r="P5" s="67"/>
      <c r="Q5" s="63"/>
      <c r="R5" s="62"/>
      <c r="S5" s="67"/>
      <c r="T5" s="63"/>
      <c r="U5" s="62"/>
      <c r="V5" s="67"/>
      <c r="W5" s="71" t="s">
        <v>11</v>
      </c>
      <c r="X5" s="72" t="n">
        <f aca="false">1/9</f>
        <v>0.111111111111111</v>
      </c>
    </row>
    <row r="6" customFormat="false" ht="13.8" hidden="false" customHeight="false" outlineLevel="0" collapsed="false">
      <c r="B6" s="35"/>
      <c r="C6" s="62"/>
      <c r="E6" s="63"/>
      <c r="F6" s="62"/>
      <c r="G6" s="67"/>
      <c r="H6" s="73" t="s">
        <v>11</v>
      </c>
      <c r="I6" s="74" t="n">
        <f aca="false">1/8</f>
        <v>0.125</v>
      </c>
      <c r="J6" s="67"/>
      <c r="K6" s="75" t="s">
        <v>11</v>
      </c>
      <c r="L6" s="76" t="n">
        <f aca="false">1/8</f>
        <v>0.125</v>
      </c>
      <c r="M6" s="67"/>
      <c r="N6" s="70" t="s">
        <v>14</v>
      </c>
      <c r="O6" s="69" t="n">
        <f aca="false">1/11</f>
        <v>0.0909090909090909</v>
      </c>
      <c r="P6" s="67"/>
      <c r="Q6" s="77" t="s">
        <v>11</v>
      </c>
      <c r="R6" s="78" t="n">
        <f aca="false">1/8</f>
        <v>0.125</v>
      </c>
      <c r="S6" s="67"/>
      <c r="T6" s="79" t="s">
        <v>11</v>
      </c>
      <c r="U6" s="80" t="n">
        <f aca="false">1/8</f>
        <v>0.125</v>
      </c>
      <c r="V6" s="67"/>
      <c r="W6" s="81" t="s">
        <v>12</v>
      </c>
      <c r="X6" s="82" t="n">
        <f aca="false">1/9</f>
        <v>0.111111111111111</v>
      </c>
    </row>
    <row r="7" customFormat="false" ht="13.8" hidden="false" customHeight="false" outlineLevel="0" collapsed="false">
      <c r="B7" s="83" t="s">
        <v>32</v>
      </c>
      <c r="C7" s="84" t="n">
        <f aca="false">1/7</f>
        <v>0.142857142857143</v>
      </c>
      <c r="E7" s="63"/>
      <c r="F7" s="62"/>
      <c r="G7" s="67"/>
      <c r="H7" s="73" t="s">
        <v>12</v>
      </c>
      <c r="I7" s="85" t="n">
        <f aca="false">1/8</f>
        <v>0.125</v>
      </c>
      <c r="J7" s="67"/>
      <c r="K7" s="75" t="s">
        <v>12</v>
      </c>
      <c r="L7" s="76" t="n">
        <f aca="false">1/8</f>
        <v>0.125</v>
      </c>
      <c r="M7" s="67"/>
      <c r="N7" s="70" t="s">
        <v>15</v>
      </c>
      <c r="O7" s="69" t="n">
        <f aca="false">1/11</f>
        <v>0.0909090909090909</v>
      </c>
      <c r="P7" s="67"/>
      <c r="Q7" s="77" t="s">
        <v>12</v>
      </c>
      <c r="R7" s="78" t="n">
        <f aca="false">1/8</f>
        <v>0.125</v>
      </c>
      <c r="S7" s="67"/>
      <c r="T7" s="79" t="s">
        <v>12</v>
      </c>
      <c r="U7" s="80" t="n">
        <f aca="false">1/8</f>
        <v>0.125</v>
      </c>
      <c r="V7" s="67"/>
      <c r="W7" s="81" t="s">
        <v>13</v>
      </c>
      <c r="X7" s="82" t="n">
        <f aca="false">1/9</f>
        <v>0.111111111111111</v>
      </c>
    </row>
    <row r="8" customFormat="false" ht="13.8" hidden="false" customHeight="false" outlineLevel="0" collapsed="false">
      <c r="B8" s="86" t="s">
        <v>33</v>
      </c>
      <c r="C8" s="87" t="n">
        <f aca="false">1/7</f>
        <v>0.142857142857143</v>
      </c>
      <c r="E8" s="88" t="s">
        <v>11</v>
      </c>
      <c r="F8" s="89" t="n">
        <f aca="false">1/6</f>
        <v>0.166666666666667</v>
      </c>
      <c r="G8" s="67"/>
      <c r="H8" s="73" t="s">
        <v>13</v>
      </c>
      <c r="I8" s="85" t="n">
        <f aca="false">1/8</f>
        <v>0.125</v>
      </c>
      <c r="J8" s="67"/>
      <c r="K8" s="75" t="s">
        <v>13</v>
      </c>
      <c r="L8" s="76" t="n">
        <f aca="false">1/8</f>
        <v>0.125</v>
      </c>
      <c r="M8" s="67"/>
      <c r="N8" s="70" t="s">
        <v>16</v>
      </c>
      <c r="O8" s="69" t="n">
        <f aca="false">1/11</f>
        <v>0.0909090909090909</v>
      </c>
      <c r="P8" s="67"/>
      <c r="Q8" s="77" t="s">
        <v>13</v>
      </c>
      <c r="R8" s="78" t="n">
        <f aca="false">1/8</f>
        <v>0.125</v>
      </c>
      <c r="S8" s="67"/>
      <c r="T8" s="79" t="s">
        <v>13</v>
      </c>
      <c r="U8" s="80" t="n">
        <f aca="false">1/8</f>
        <v>0.125</v>
      </c>
      <c r="V8" s="67"/>
      <c r="W8" s="81" t="s">
        <v>14</v>
      </c>
      <c r="X8" s="82" t="n">
        <f aca="false">1/9</f>
        <v>0.111111111111111</v>
      </c>
    </row>
    <row r="9" customFormat="false" ht="13.8" hidden="false" customHeight="false" outlineLevel="0" collapsed="false">
      <c r="B9" s="90" t="s">
        <v>34</v>
      </c>
      <c r="C9" s="91" t="n">
        <f aca="false">1/7</f>
        <v>0.142857142857143</v>
      </c>
      <c r="E9" s="88" t="s">
        <v>12</v>
      </c>
      <c r="F9" s="89" t="n">
        <f aca="false">1/6</f>
        <v>0.166666666666667</v>
      </c>
      <c r="G9" s="67"/>
      <c r="H9" s="73" t="s">
        <v>14</v>
      </c>
      <c r="I9" s="85" t="n">
        <f aca="false">1/8</f>
        <v>0.125</v>
      </c>
      <c r="J9" s="67"/>
      <c r="K9" s="75" t="s">
        <v>14</v>
      </c>
      <c r="L9" s="76" t="n">
        <f aca="false">1/8</f>
        <v>0.125</v>
      </c>
      <c r="M9" s="67"/>
      <c r="N9" s="70" t="s">
        <v>17</v>
      </c>
      <c r="O9" s="69" t="n">
        <f aca="false">1/11</f>
        <v>0.0909090909090909</v>
      </c>
      <c r="P9" s="67"/>
      <c r="Q9" s="77" t="s">
        <v>14</v>
      </c>
      <c r="R9" s="78" t="n">
        <f aca="false">1/8</f>
        <v>0.125</v>
      </c>
      <c r="S9" s="67"/>
      <c r="T9" s="79" t="s">
        <v>14</v>
      </c>
      <c r="U9" s="80" t="n">
        <f aca="false">1/8</f>
        <v>0.125</v>
      </c>
      <c r="V9" s="67"/>
      <c r="W9" s="81" t="s">
        <v>15</v>
      </c>
      <c r="X9" s="82" t="n">
        <f aca="false">1/9</f>
        <v>0.111111111111111</v>
      </c>
    </row>
    <row r="10" customFormat="false" ht="13.8" hidden="false" customHeight="false" outlineLevel="0" collapsed="false">
      <c r="B10" s="92" t="s">
        <v>35</v>
      </c>
      <c r="C10" s="93" t="n">
        <f aca="false">1/7</f>
        <v>0.142857142857143</v>
      </c>
      <c r="E10" s="88" t="s">
        <v>13</v>
      </c>
      <c r="F10" s="89" t="n">
        <f aca="false">1/6</f>
        <v>0.166666666666667</v>
      </c>
      <c r="G10" s="67"/>
      <c r="H10" s="73" t="s">
        <v>15</v>
      </c>
      <c r="I10" s="85" t="n">
        <f aca="false">1/8</f>
        <v>0.125</v>
      </c>
      <c r="J10" s="67"/>
      <c r="K10" s="75" t="s">
        <v>15</v>
      </c>
      <c r="L10" s="76" t="n">
        <f aca="false">1/8</f>
        <v>0.125</v>
      </c>
      <c r="M10" s="67"/>
      <c r="N10" s="70" t="s">
        <v>18</v>
      </c>
      <c r="O10" s="69" t="n">
        <f aca="false">1/11</f>
        <v>0.0909090909090909</v>
      </c>
      <c r="P10" s="67"/>
      <c r="Q10" s="77" t="s">
        <v>15</v>
      </c>
      <c r="R10" s="78" t="n">
        <f aca="false">1/8</f>
        <v>0.125</v>
      </c>
      <c r="S10" s="67"/>
      <c r="T10" s="79" t="s">
        <v>15</v>
      </c>
      <c r="U10" s="80" t="n">
        <f aca="false">1/8</f>
        <v>0.125</v>
      </c>
      <c r="V10" s="67"/>
      <c r="W10" s="81" t="s">
        <v>16</v>
      </c>
      <c r="X10" s="82" t="n">
        <f aca="false">1/9</f>
        <v>0.111111111111111</v>
      </c>
    </row>
    <row r="11" customFormat="false" ht="13.8" hidden="false" customHeight="false" outlineLevel="0" collapsed="false">
      <c r="B11" s="77" t="s">
        <v>36</v>
      </c>
      <c r="C11" s="78" t="n">
        <f aca="false">1/7</f>
        <v>0.142857142857143</v>
      </c>
      <c r="E11" s="88" t="s">
        <v>14</v>
      </c>
      <c r="F11" s="89" t="n">
        <f aca="false">1/6</f>
        <v>0.166666666666667</v>
      </c>
      <c r="G11" s="67"/>
      <c r="H11" s="73" t="s">
        <v>16</v>
      </c>
      <c r="I11" s="85" t="n">
        <f aca="false">1/8</f>
        <v>0.125</v>
      </c>
      <c r="J11" s="67"/>
      <c r="K11" s="75" t="s">
        <v>16</v>
      </c>
      <c r="L11" s="76" t="n">
        <f aca="false">1/8</f>
        <v>0.125</v>
      </c>
      <c r="M11" s="67"/>
      <c r="N11" s="70" t="s">
        <v>19</v>
      </c>
      <c r="O11" s="69" t="n">
        <f aca="false">1/11</f>
        <v>0.0909090909090909</v>
      </c>
      <c r="P11" s="67"/>
      <c r="Q11" s="77" t="s">
        <v>16</v>
      </c>
      <c r="R11" s="78" t="n">
        <f aca="false">1/8</f>
        <v>0.125</v>
      </c>
      <c r="S11" s="67"/>
      <c r="T11" s="79" t="s">
        <v>16</v>
      </c>
      <c r="U11" s="80" t="n">
        <f aca="false">1/8</f>
        <v>0.125</v>
      </c>
      <c r="V11" s="67"/>
      <c r="W11" s="81" t="s">
        <v>17</v>
      </c>
      <c r="X11" s="82" t="n">
        <f aca="false">1/9</f>
        <v>0.111111111111111</v>
      </c>
    </row>
    <row r="12" customFormat="false" ht="13.8" hidden="false" customHeight="false" outlineLevel="0" collapsed="false">
      <c r="B12" s="94" t="s">
        <v>37</v>
      </c>
      <c r="C12" s="95" t="n">
        <f aca="false">1/7</f>
        <v>0.142857142857143</v>
      </c>
      <c r="E12" s="88" t="s">
        <v>15</v>
      </c>
      <c r="F12" s="89" t="n">
        <f aca="false">1/6</f>
        <v>0.166666666666667</v>
      </c>
      <c r="G12" s="67"/>
      <c r="H12" s="73" t="s">
        <v>17</v>
      </c>
      <c r="I12" s="85" t="n">
        <f aca="false">1/8</f>
        <v>0.125</v>
      </c>
      <c r="J12" s="67"/>
      <c r="K12" s="75" t="s">
        <v>17</v>
      </c>
      <c r="L12" s="76" t="n">
        <f aca="false">1/8</f>
        <v>0.125</v>
      </c>
      <c r="M12" s="67"/>
      <c r="N12" s="70" t="s">
        <v>20</v>
      </c>
      <c r="O12" s="69" t="n">
        <f aca="false">1/11</f>
        <v>0.0909090909090909</v>
      </c>
      <c r="P12" s="67"/>
      <c r="Q12" s="77" t="s">
        <v>17</v>
      </c>
      <c r="R12" s="78" t="n">
        <f aca="false">1/8</f>
        <v>0.125</v>
      </c>
      <c r="S12" s="67"/>
      <c r="T12" s="79" t="s">
        <v>17</v>
      </c>
      <c r="U12" s="80" t="n">
        <f aca="false">1/8</f>
        <v>0.125</v>
      </c>
      <c r="V12" s="67"/>
      <c r="W12" s="81" t="s">
        <v>18</v>
      </c>
      <c r="X12" s="82" t="n">
        <f aca="false">1/9</f>
        <v>0.111111111111111</v>
      </c>
    </row>
    <row r="13" customFormat="false" ht="13.8" hidden="false" customHeight="false" outlineLevel="0" collapsed="false">
      <c r="B13" s="81" t="s">
        <v>38</v>
      </c>
      <c r="C13" s="82" t="n">
        <f aca="false">1/7</f>
        <v>0.142857142857143</v>
      </c>
      <c r="E13" s="88" t="s">
        <v>16</v>
      </c>
      <c r="F13" s="89" t="n">
        <f aca="false">1/6</f>
        <v>0.166666666666667</v>
      </c>
      <c r="G13" s="67"/>
      <c r="H13" s="73" t="s">
        <v>18</v>
      </c>
      <c r="I13" s="85" t="n">
        <f aca="false">1/8</f>
        <v>0.125</v>
      </c>
      <c r="J13" s="67"/>
      <c r="K13" s="75" t="s">
        <v>18</v>
      </c>
      <c r="L13" s="76" t="n">
        <f aca="false">1/8</f>
        <v>0.125</v>
      </c>
      <c r="M13" s="67"/>
      <c r="N13" s="70" t="s">
        <v>21</v>
      </c>
      <c r="O13" s="69" t="n">
        <f aca="false">1/11</f>
        <v>0.0909090909090909</v>
      </c>
      <c r="P13" s="67"/>
      <c r="Q13" s="77" t="s">
        <v>18</v>
      </c>
      <c r="R13" s="78" t="n">
        <f aca="false">1/8</f>
        <v>0.125</v>
      </c>
      <c r="S13" s="67"/>
      <c r="T13" s="79" t="s">
        <v>18</v>
      </c>
      <c r="U13" s="80" t="n">
        <f aca="false">1/8</f>
        <v>0.125</v>
      </c>
      <c r="V13" s="67"/>
      <c r="W13" s="81" t="s">
        <v>19</v>
      </c>
      <c r="X13" s="82" t="n">
        <f aca="false">1/9</f>
        <v>0.111111111111111</v>
      </c>
    </row>
    <row r="14" customFormat="false" ht="28.1" hidden="false" customHeight="false" outlineLevel="0" collapsed="false">
      <c r="B14" s="96" t="s">
        <v>39</v>
      </c>
      <c r="C14" s="97" t="n">
        <f aca="false">SUM(C4:C13)</f>
        <v>1</v>
      </c>
      <c r="E14" s="98" t="s">
        <v>40</v>
      </c>
      <c r="F14" s="99" t="n">
        <f aca="false">SUM(F8:F13)</f>
        <v>1</v>
      </c>
      <c r="G14" s="67"/>
      <c r="H14" s="100" t="s">
        <v>41</v>
      </c>
      <c r="I14" s="101" t="n">
        <f aca="false">SUM(I6:I13)</f>
        <v>1</v>
      </c>
      <c r="J14" s="67"/>
      <c r="K14" s="102" t="s">
        <v>42</v>
      </c>
      <c r="L14" s="103" t="n">
        <f aca="false">SUM(L6:L13)</f>
        <v>1</v>
      </c>
      <c r="M14" s="67"/>
      <c r="N14" s="104" t="s">
        <v>43</v>
      </c>
      <c r="O14" s="105" t="n">
        <f aca="false">SUM(O3:O13)</f>
        <v>1</v>
      </c>
      <c r="P14" s="67"/>
      <c r="Q14" s="106" t="s">
        <v>44</v>
      </c>
      <c r="R14" s="107" t="n">
        <f aca="false">SUM(R6:R13)</f>
        <v>1</v>
      </c>
      <c r="S14" s="67"/>
      <c r="T14" s="108" t="s">
        <v>45</v>
      </c>
      <c r="U14" s="109" t="n">
        <f aca="false">SUM(U6:U13)</f>
        <v>1</v>
      </c>
      <c r="V14" s="67"/>
      <c r="W14" s="110" t="s">
        <v>46</v>
      </c>
      <c r="X14" s="111" t="n">
        <f aca="false">SUM(X5:X13)</f>
        <v>1</v>
      </c>
    </row>
    <row r="15" s="1" customFormat="true" ht="13.8" hidden="false" customHeight="false" outlineLevel="0" collapsed="false">
      <c r="G15" s="67"/>
    </row>
    <row r="16" s="1" customFormat="true" ht="13.8" hidden="false" customHeight="false" outlineLevel="0" collapsed="false">
      <c r="C16" s="33"/>
    </row>
    <row r="17" s="1" customFormat="true" ht="13.8" hidden="false" customHeight="false" outlineLevel="0" collapsed="false"/>
    <row r="18" s="1" customFormat="true" ht="13.8" hidden="false" customHeight="false" outlineLevel="0" collapsed="false"/>
    <row r="19" s="1" customFormat="true" ht="13.8" hidden="false" customHeight="false" outlineLevel="0" collapsed="false"/>
    <row r="20" s="1" customFormat="true" ht="13.8" hidden="false" customHeight="false" outlineLevel="0" collapsed="false"/>
    <row r="21" s="1" customFormat="true" ht="13.8" hidden="false" customHeight="false" outlineLevel="0" collapsed="false"/>
    <row r="22" s="1" customFormat="true" ht="13.8" hidden="false" customHeight="false" outlineLevel="0" collapsed="false"/>
    <row r="23" s="1" customFormat="true" ht="13.8" hidden="false" customHeight="false" outlineLevel="0" collapsed="false"/>
    <row r="24" s="1" customFormat="true" ht="13.8" hidden="false" customHeight="false" outlineLevel="0" collapsed="false"/>
    <row r="25" s="1" customFormat="true" ht="13.8" hidden="false" customHeight="false" outlineLevel="0" collapsed="false"/>
    <row r="26" s="1" customFormat="true" ht="13.8" hidden="false" customHeight="false" outlineLevel="0" collapsed="false"/>
    <row r="27" s="1" customFormat="true" ht="13.8" hidden="false" customHeight="false" outlineLevel="0" collapsed="false"/>
    <row r="28" s="1" customFormat="true" ht="13.8" hidden="false" customHeight="false" outlineLevel="0" collapsed="false"/>
    <row r="29" s="1" customFormat="true" ht="13.8" hidden="false" customHeight="false" outlineLevel="0" collapsed="false"/>
    <row r="30" s="1" customFormat="true" ht="13.8" hidden="false" customHeight="false" outlineLevel="0" collapsed="false"/>
    <row r="31" s="1" customFormat="true" ht="13.8" hidden="false" customHeight="false" outlineLevel="0" collapsed="false"/>
    <row r="32" s="1" customFormat="true" ht="13.8" hidden="false" customHeight="false" outlineLevel="0" collapsed="false"/>
    <row r="33" s="1" customFormat="true" ht="13.8" hidden="false" customHeight="false" outlineLevel="0" collapsed="false"/>
    <row r="34" s="1" customFormat="true" ht="13.8" hidden="false" customHeight="false" outlineLevel="0" collapsed="false"/>
    <row r="35" s="1" customFormat="true" ht="13.8" hidden="false" customHeight="false" outlineLevel="0" collapsed="false"/>
    <row r="36" s="1" customFormat="true" ht="13.8" hidden="false" customHeight="false" outlineLevel="0" collapsed="false"/>
    <row r="37" s="1" customFormat="true" ht="13.8" hidden="false" customHeight="false" outlineLevel="0" collapsed="false"/>
    <row r="38" s="1" customFormat="true" ht="13.8" hidden="false" customHeight="false" outlineLevel="0" collapsed="false"/>
    <row r="39" s="1" customFormat="true" ht="13.8" hidden="false" customHeight="false" outlineLevel="0" collapsed="false"/>
    <row r="40" s="1" customFormat="true" ht="13.8" hidden="false" customHeight="false" outlineLevel="0" collapsed="false"/>
    <row r="41" s="1" customFormat="true" ht="13.8" hidden="false" customHeight="false" outlineLevel="0" collapsed="false">
      <c r="G41" s="112"/>
    </row>
    <row r="42" s="1" customFormat="true" ht="13.8" hidden="false" customHeight="false" outlineLevel="0" collapsed="false">
      <c r="G42" s="112"/>
    </row>
    <row r="43" s="1" customFormat="true" ht="13.8" hidden="false" customHeight="false" outlineLevel="0" collapsed="false">
      <c r="G43" s="112"/>
    </row>
    <row r="44" s="1" customFormat="true" ht="13.8" hidden="false" customHeight="false" outlineLevel="0" collapsed="false">
      <c r="G44" s="112"/>
    </row>
    <row r="45" s="1" customFormat="true" ht="13.8" hidden="false" customHeight="false" outlineLevel="0" collapsed="false"/>
    <row r="46" s="1" customFormat="true" ht="13.8" hidden="false" customHeight="false" outlineLevel="0" collapsed="false"/>
    <row r="47" s="1" customFormat="true" ht="13.8" hidden="false" customHeight="false" outlineLevel="0" collapsed="false"/>
    <row r="48" s="1" customFormat="true" ht="13.8" hidden="false" customHeight="false" outlineLevel="0" collapsed="false"/>
    <row r="49" s="1" customFormat="true" ht="13.8" hidden="false" customHeight="false" outlineLevel="0" collapsed="false"/>
    <row r="50" s="1" customFormat="true" ht="13.8" hidden="false" customHeight="false" outlineLevel="0" collapsed="false"/>
    <row r="51" s="1" customFormat="true" ht="13.8" hidden="false" customHeight="false" outlineLevel="0" collapsed="false"/>
    <row r="52" s="1" customFormat="true" ht="13.8" hidden="false" customHeight="false" outlineLevel="0" collapsed="false"/>
    <row r="53" s="1" customFormat="true" ht="13.8" hidden="false" customHeight="false" outlineLevel="0" collapsed="false"/>
    <row r="54" s="1" customFormat="true" ht="13.8" hidden="false" customHeight="false" outlineLevel="0" collapsed="false"/>
    <row r="55" s="1" customFormat="true" ht="13.8" hidden="false" customHeight="false" outlineLevel="0" collapsed="false"/>
    <row r="56" s="1" customFormat="true" ht="13.8" hidden="false" customHeight="false" outlineLevel="0" collapsed="false"/>
    <row r="57" s="1" customFormat="true" ht="13.8" hidden="false" customHeight="false" outlineLevel="0" collapsed="false"/>
    <row r="58" s="1" customFormat="true" ht="13.8" hidden="false" customHeight="false" outlineLevel="0" collapsed="false"/>
    <row r="59" s="1" customFormat="true" ht="13.8" hidden="false" customHeight="false" outlineLevel="0" collapsed="false"/>
    <row r="60" s="1" customFormat="true" ht="13.8" hidden="false" customHeight="false" outlineLevel="0" collapsed="false"/>
    <row r="61" s="1" customFormat="true" ht="13.8" hidden="false" customHeight="false" outlineLevel="0" collapsed="false"/>
    <row r="62" s="1" customFormat="true" ht="13.8" hidden="false" customHeight="false" outlineLevel="0" collapsed="false"/>
    <row r="63" s="1" customFormat="true" ht="13.8" hidden="false" customHeight="false" outlineLevel="0" collapsed="false"/>
    <row r="64" s="1" customFormat="true" ht="13.8" hidden="false" customHeight="false" outlineLevel="0" collapsed="false"/>
    <row r="65" s="1" customFormat="true" ht="13.8" hidden="false" customHeight="false" outlineLevel="0" collapsed="false"/>
    <row r="66" s="1" customFormat="true" ht="13.8" hidden="false" customHeight="false" outlineLevel="0" collapsed="false"/>
    <row r="67" s="1" customFormat="true" ht="13.8" hidden="false" customHeight="false" outlineLevel="0" collapsed="false"/>
    <row r="68" s="1" customFormat="true" ht="13.8" hidden="false" customHeight="false" outlineLevel="0" collapsed="false"/>
    <row r="69" s="1" customFormat="true" ht="13.8" hidden="false" customHeight="false" outlineLevel="0" collapsed="false"/>
    <row r="70" s="1" customFormat="true" ht="13.8" hidden="false" customHeight="false" outlineLevel="0" collapsed="false"/>
    <row r="71" s="1" customFormat="true" ht="13.8" hidden="false" customHeight="false" outlineLevel="0" collapsed="false"/>
    <row r="72" s="1" customFormat="true" ht="13.8" hidden="false" customHeight="false" outlineLevel="0" collapsed="false"/>
    <row r="73" s="1" customFormat="true" ht="13.8" hidden="false" customHeight="false" outlineLevel="0" collapsed="false"/>
    <row r="74" s="1" customFormat="true" ht="13.8" hidden="false" customHeight="false" outlineLevel="0" collapsed="false"/>
  </sheetData>
  <mergeCells count="14">
    <mergeCell ref="B2:B6"/>
    <mergeCell ref="C2:C6"/>
    <mergeCell ref="E2:E7"/>
    <mergeCell ref="F2:F7"/>
    <mergeCell ref="H2:H5"/>
    <mergeCell ref="I2:I5"/>
    <mergeCell ref="K2:K5"/>
    <mergeCell ref="L2:L5"/>
    <mergeCell ref="Q2:Q5"/>
    <mergeCell ref="R2:R5"/>
    <mergeCell ref="T2:T5"/>
    <mergeCell ref="U2:U5"/>
    <mergeCell ref="W2:W4"/>
    <mergeCell ref="X2:X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4" activeCellId="0" sqref="F4"/>
    </sheetView>
  </sheetViews>
  <sheetFormatPr defaultColWidth="11.4296875" defaultRowHeight="13.8" zeroHeight="false" outlineLevelRow="0" outlineLevelCol="0"/>
  <cols>
    <col collapsed="false" customWidth="true" hidden="false" outlineLevel="0" max="1" min="1" style="0" width="7.46"/>
    <col collapsed="false" customWidth="true" hidden="false" outlineLevel="0" max="3" min="2" style="0" width="11.83"/>
    <col collapsed="false" customWidth="true" hidden="false" outlineLevel="0" max="4" min="4" style="0" width="8.85"/>
    <col collapsed="false" customWidth="true" hidden="false" outlineLevel="0" max="5" min="5" style="0" width="6.36"/>
    <col collapsed="false" customWidth="true" hidden="false" outlineLevel="0" max="6" min="6" style="0" width="4.31"/>
    <col collapsed="false" customWidth="true" hidden="false" outlineLevel="0" max="22" min="7" style="0" width="4.29"/>
    <col collapsed="false" customWidth="true" hidden="false" outlineLevel="0" max="23" min="23" style="0" width="8.72"/>
    <col collapsed="false" customWidth="true" hidden="false" outlineLevel="0" max="24" min="24" style="0" width="3.7"/>
    <col collapsed="false" customWidth="true" hidden="false" outlineLevel="0" max="25" min="25" style="1" width="2.28"/>
    <col collapsed="false" customWidth="true" hidden="false" outlineLevel="0" max="26" min="26" style="0" width="12.85"/>
    <col collapsed="false" customWidth="true" hidden="false" outlineLevel="0" max="27" min="27" style="0" width="14.02"/>
    <col collapsed="false" customWidth="true" hidden="false" outlineLevel="0" max="28" min="28" style="0" width="7.28"/>
  </cols>
  <sheetData>
    <row r="1" s="1" customFormat="true" ht="15" hidden="false" customHeight="false" outlineLevel="0" collapsed="false">
      <c r="AMJ1" s="0"/>
    </row>
    <row r="2" customFormat="false" ht="15" hidden="false" customHeight="true" outlineLevel="0" collapsed="false">
      <c r="A2" s="113" t="s">
        <v>47</v>
      </c>
      <c r="B2" s="114" t="s">
        <v>48</v>
      </c>
      <c r="C2" s="114" t="s">
        <v>49</v>
      </c>
      <c r="D2" s="114" t="s">
        <v>50</v>
      </c>
      <c r="E2" s="115" t="s">
        <v>51</v>
      </c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6" t="s">
        <v>26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customFormat="false" ht="29.25" hidden="false" customHeight="true" outlineLevel="0" collapsed="false">
      <c r="A3" s="113"/>
      <c r="B3" s="113"/>
      <c r="C3" s="113"/>
      <c r="D3" s="113"/>
      <c r="E3" s="117" t="s">
        <v>52</v>
      </c>
      <c r="F3" s="117" t="s">
        <v>53</v>
      </c>
      <c r="G3" s="117"/>
      <c r="H3" s="117"/>
      <c r="I3" s="117" t="s">
        <v>54</v>
      </c>
      <c r="J3" s="117"/>
      <c r="K3" s="117"/>
      <c r="L3" s="117"/>
      <c r="M3" s="117"/>
      <c r="N3" s="117" t="s">
        <v>55</v>
      </c>
      <c r="O3" s="117"/>
      <c r="P3" s="117"/>
      <c r="Q3" s="117"/>
      <c r="R3" s="117"/>
      <c r="S3" s="117" t="s">
        <v>56</v>
      </c>
      <c r="T3" s="117"/>
      <c r="U3" s="117"/>
      <c r="V3" s="117"/>
      <c r="W3" s="118" t="s">
        <v>57</v>
      </c>
      <c r="X3" s="11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customFormat="false" ht="29.25" hidden="false" customHeight="true" outlineLevel="0" collapsed="false">
      <c r="A4" s="113"/>
      <c r="B4" s="113"/>
      <c r="C4" s="113"/>
      <c r="D4" s="113"/>
      <c r="E4" s="117" t="s">
        <v>58</v>
      </c>
      <c r="F4" s="117" t="s">
        <v>58</v>
      </c>
      <c r="G4" s="117" t="s">
        <v>59</v>
      </c>
      <c r="H4" s="117" t="s">
        <v>60</v>
      </c>
      <c r="I4" s="117" t="s">
        <v>58</v>
      </c>
      <c r="J4" s="117" t="s">
        <v>59</v>
      </c>
      <c r="K4" s="117" t="s">
        <v>60</v>
      </c>
      <c r="L4" s="117" t="s">
        <v>61</v>
      </c>
      <c r="M4" s="117" t="s">
        <v>62</v>
      </c>
      <c r="N4" s="117" t="s">
        <v>58</v>
      </c>
      <c r="O4" s="117" t="s">
        <v>59</v>
      </c>
      <c r="P4" s="117" t="s">
        <v>60</v>
      </c>
      <c r="Q4" s="117" t="s">
        <v>61</v>
      </c>
      <c r="R4" s="117" t="s">
        <v>62</v>
      </c>
      <c r="S4" s="117" t="s">
        <v>58</v>
      </c>
      <c r="T4" s="117" t="s">
        <v>59</v>
      </c>
      <c r="U4" s="117" t="s">
        <v>60</v>
      </c>
      <c r="V4" s="117" t="s">
        <v>61</v>
      </c>
      <c r="W4" s="118"/>
      <c r="X4" s="11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customFormat="false" ht="8.25" hidden="false" customHeight="true" outlineLevel="0" collapsed="false">
      <c r="A5" s="119"/>
      <c r="B5" s="120"/>
      <c r="C5" s="120"/>
      <c r="D5" s="120"/>
      <c r="E5" s="119"/>
      <c r="F5" s="120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customFormat="false" ht="14.9" hidden="false" customHeight="false" outlineLevel="0" collapsed="false">
      <c r="A6" s="121" t="s">
        <v>11</v>
      </c>
      <c r="B6" s="122" t="n">
        <f aca="false">1/6</f>
        <v>0.166666666666667</v>
      </c>
      <c r="C6" s="123" t="n">
        <f aca="false">AVERAGE(E6:W6)</f>
        <v>10</v>
      </c>
      <c r="D6" s="124" t="n">
        <v>1</v>
      </c>
      <c r="E6" s="125" t="n">
        <v>10</v>
      </c>
      <c r="F6" s="126" t="n">
        <v>10</v>
      </c>
      <c r="G6" s="127"/>
      <c r="H6" s="128"/>
      <c r="I6" s="129"/>
      <c r="J6" s="127"/>
      <c r="K6" s="127"/>
      <c r="L6" s="127"/>
      <c r="M6" s="128"/>
      <c r="N6" s="129"/>
      <c r="O6" s="127"/>
      <c r="P6" s="127"/>
      <c r="Q6" s="127"/>
      <c r="R6" s="128"/>
      <c r="S6" s="129"/>
      <c r="T6" s="127"/>
      <c r="U6" s="127"/>
      <c r="V6" s="128"/>
      <c r="W6" s="130"/>
      <c r="X6" s="130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customFormat="false" ht="14.9" hidden="false" customHeight="false" outlineLevel="0" collapsed="false">
      <c r="A7" s="88" t="s">
        <v>12</v>
      </c>
      <c r="B7" s="131" t="n">
        <f aca="false">1/6</f>
        <v>0.166666666666667</v>
      </c>
      <c r="C7" s="132" t="n">
        <f aca="false">AVERAGE(E7:W7)</f>
        <v>10</v>
      </c>
      <c r="D7" s="133" t="n">
        <v>1</v>
      </c>
      <c r="E7" s="134" t="n">
        <v>10</v>
      </c>
      <c r="F7" s="135"/>
      <c r="G7" s="136"/>
      <c r="H7" s="137"/>
      <c r="I7" s="135"/>
      <c r="J7" s="136"/>
      <c r="K7" s="136"/>
      <c r="L7" s="136"/>
      <c r="M7" s="137"/>
      <c r="N7" s="135"/>
      <c r="O7" s="136"/>
      <c r="P7" s="136"/>
      <c r="Q7" s="136"/>
      <c r="R7" s="137"/>
      <c r="S7" s="135"/>
      <c r="T7" s="136"/>
      <c r="U7" s="136"/>
      <c r="V7" s="137"/>
      <c r="W7" s="138"/>
      <c r="X7" s="138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customFormat="false" ht="14.9" hidden="false" customHeight="false" outlineLevel="0" collapsed="false">
      <c r="A8" s="88" t="s">
        <v>13</v>
      </c>
      <c r="B8" s="131" t="n">
        <f aca="false">1/6</f>
        <v>0.166666666666667</v>
      </c>
      <c r="C8" s="132" t="n">
        <f aca="false">AVERAGE(E8:W8)</f>
        <v>10</v>
      </c>
      <c r="D8" s="133" t="n">
        <v>1</v>
      </c>
      <c r="E8" s="134" t="n">
        <v>10</v>
      </c>
      <c r="F8" s="135"/>
      <c r="G8" s="136"/>
      <c r="H8" s="137"/>
      <c r="I8" s="135"/>
      <c r="J8" s="136"/>
      <c r="K8" s="136"/>
      <c r="L8" s="136"/>
      <c r="M8" s="137"/>
      <c r="N8" s="135"/>
      <c r="O8" s="136"/>
      <c r="P8" s="136"/>
      <c r="Q8" s="136"/>
      <c r="R8" s="137"/>
      <c r="S8" s="135"/>
      <c r="T8" s="136"/>
      <c r="U8" s="136"/>
      <c r="V8" s="137"/>
      <c r="W8" s="138"/>
      <c r="X8" s="138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customFormat="false" ht="14.9" hidden="false" customHeight="false" outlineLevel="0" collapsed="false">
      <c r="A9" s="88" t="s">
        <v>14</v>
      </c>
      <c r="B9" s="131" t="n">
        <f aca="false">1/6</f>
        <v>0.166666666666667</v>
      </c>
      <c r="C9" s="132" t="n">
        <f aca="false">AVERAGE(E9:W9)</f>
        <v>10</v>
      </c>
      <c r="D9" s="133" t="n">
        <v>1</v>
      </c>
      <c r="E9" s="134" t="n">
        <v>10</v>
      </c>
      <c r="F9" s="135"/>
      <c r="G9" s="136"/>
      <c r="H9" s="137"/>
      <c r="I9" s="135"/>
      <c r="J9" s="136"/>
      <c r="K9" s="136"/>
      <c r="L9" s="136"/>
      <c r="M9" s="137"/>
      <c r="N9" s="135"/>
      <c r="O9" s="136"/>
      <c r="P9" s="136"/>
      <c r="Q9" s="136"/>
      <c r="R9" s="137"/>
      <c r="S9" s="135"/>
      <c r="T9" s="136"/>
      <c r="U9" s="136"/>
      <c r="V9" s="137"/>
      <c r="W9" s="138"/>
      <c r="X9" s="138"/>
      <c r="Z9" s="1"/>
      <c r="AA9" s="1"/>
      <c r="AB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customFormat="false" ht="14.9" hidden="false" customHeight="false" outlineLevel="0" collapsed="false">
      <c r="A10" s="88" t="s">
        <v>15</v>
      </c>
      <c r="B10" s="131" t="n">
        <f aca="false">1/6</f>
        <v>0.166666666666667</v>
      </c>
      <c r="C10" s="132" t="n">
        <f aca="false">AVERAGE(E10:W10)</f>
        <v>10</v>
      </c>
      <c r="D10" s="133" t="n">
        <v>1</v>
      </c>
      <c r="E10" s="139"/>
      <c r="F10" s="135"/>
      <c r="G10" s="140" t="n">
        <v>10</v>
      </c>
      <c r="H10" s="137"/>
      <c r="I10" s="135"/>
      <c r="J10" s="136"/>
      <c r="K10" s="136"/>
      <c r="L10" s="136"/>
      <c r="M10" s="137"/>
      <c r="N10" s="135"/>
      <c r="O10" s="136"/>
      <c r="P10" s="136"/>
      <c r="Q10" s="136"/>
      <c r="R10" s="137"/>
      <c r="S10" s="135"/>
      <c r="T10" s="136"/>
      <c r="U10" s="136"/>
      <c r="V10" s="137"/>
      <c r="W10" s="141" t="n">
        <v>10</v>
      </c>
      <c r="X10" s="142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customFormat="false" ht="14.2" hidden="false" customHeight="false" outlineLevel="0" collapsed="false">
      <c r="A11" s="88" t="s">
        <v>16</v>
      </c>
      <c r="B11" s="131" t="n">
        <f aca="false">1/6</f>
        <v>0.166666666666667</v>
      </c>
      <c r="C11" s="132" t="n">
        <f aca="false">AVERAGE(E11:W11)</f>
        <v>10</v>
      </c>
      <c r="D11" s="133" t="n">
        <v>1</v>
      </c>
      <c r="E11" s="143"/>
      <c r="F11" s="144"/>
      <c r="G11" s="145" t="n">
        <v>10</v>
      </c>
      <c r="H11" s="146" t="n">
        <v>10</v>
      </c>
      <c r="I11" s="144"/>
      <c r="J11" s="147"/>
      <c r="K11" s="147"/>
      <c r="L11" s="147"/>
      <c r="M11" s="148"/>
      <c r="N11" s="144"/>
      <c r="O11" s="147"/>
      <c r="P11" s="147"/>
      <c r="Q11" s="147"/>
      <c r="R11" s="148"/>
      <c r="S11" s="144"/>
      <c r="T11" s="147"/>
      <c r="U11" s="147"/>
      <c r="V11" s="148"/>
      <c r="W11" s="146" t="n">
        <v>10</v>
      </c>
      <c r="X11" s="149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customFormat="false" ht="14.2" hidden="false" customHeight="false" outlineLevel="0" collapsed="false">
      <c r="A12" s="150" t="s">
        <v>32</v>
      </c>
      <c r="B12" s="151" t="n">
        <f aca="false">SUM(B6:B11)</f>
        <v>1</v>
      </c>
      <c r="C12" s="152" t="n">
        <f aca="false">C6*B6+C7*B7+C8*B8+C9*B9+C10*B10+C11*B11</f>
        <v>10</v>
      </c>
      <c r="D12" s="153"/>
      <c r="E12" s="153" t="n">
        <f aca="false">AVERAGE(E6:E11)</f>
        <v>10</v>
      </c>
      <c r="F12" s="153" t="n">
        <f aca="false">AVERAGE(F6:F11)</f>
        <v>10</v>
      </c>
      <c r="G12" s="153" t="n">
        <f aca="false">AVERAGE(G6:G11)</f>
        <v>10</v>
      </c>
      <c r="H12" s="153" t="n">
        <f aca="false">AVERAGE(H6:H11)</f>
        <v>10</v>
      </c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5"/>
      <c r="W12" s="156" t="n">
        <f aca="false">AVERAGE(W6:W11)</f>
        <v>10</v>
      </c>
      <c r="X12" s="157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customFormat="false" ht="8.5" hidden="false" customHeight="true" outlineLevel="0" collapsed="false">
      <c r="A13" s="158"/>
      <c r="B13" s="158"/>
      <c r="C13" s="15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customFormat="false" ht="14.9" hidden="false" customHeight="false" outlineLevel="0" collapsed="false">
      <c r="A14" s="86" t="s">
        <v>11</v>
      </c>
      <c r="B14" s="159" t="n">
        <f aca="false">1/8</f>
        <v>0.125</v>
      </c>
      <c r="C14" s="132" t="n">
        <f aca="false">AVERAGE(E14:W14)</f>
        <v>10</v>
      </c>
      <c r="D14" s="160" t="n">
        <v>1</v>
      </c>
      <c r="E14" s="161" t="n">
        <v>10</v>
      </c>
      <c r="F14" s="162"/>
      <c r="G14" s="163"/>
      <c r="H14" s="164"/>
      <c r="I14" s="162"/>
      <c r="J14" s="163"/>
      <c r="K14" s="163"/>
      <c r="L14" s="163"/>
      <c r="M14" s="164"/>
      <c r="N14" s="162"/>
      <c r="O14" s="163"/>
      <c r="P14" s="163"/>
      <c r="Q14" s="163"/>
      <c r="R14" s="164"/>
      <c r="S14" s="162"/>
      <c r="T14" s="163"/>
      <c r="U14" s="163"/>
      <c r="V14" s="164"/>
      <c r="W14" s="164"/>
      <c r="X14" s="164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customFormat="false" ht="14.9" hidden="false" customHeight="false" outlineLevel="0" collapsed="false">
      <c r="A15" s="86" t="s">
        <v>12</v>
      </c>
      <c r="B15" s="159" t="n">
        <f aca="false">1/8</f>
        <v>0.125</v>
      </c>
      <c r="C15" s="132" t="n">
        <f aca="false">AVERAGE(E15:W15)</f>
        <v>10</v>
      </c>
      <c r="D15" s="160" t="n">
        <v>1</v>
      </c>
      <c r="E15" s="165"/>
      <c r="F15" s="166"/>
      <c r="G15" s="167"/>
      <c r="H15" s="168"/>
      <c r="I15" s="166"/>
      <c r="J15" s="169" t="n">
        <v>10</v>
      </c>
      <c r="K15" s="167"/>
      <c r="L15" s="167"/>
      <c r="M15" s="168"/>
      <c r="N15" s="166"/>
      <c r="O15" s="167"/>
      <c r="P15" s="167"/>
      <c r="Q15" s="167"/>
      <c r="R15" s="168"/>
      <c r="S15" s="166"/>
      <c r="T15" s="167"/>
      <c r="U15" s="167"/>
      <c r="V15" s="168"/>
      <c r="W15" s="170" t="n">
        <v>10</v>
      </c>
      <c r="X15" s="171"/>
      <c r="Z15" s="172"/>
      <c r="AA15" s="172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customFormat="false" ht="14.9" hidden="false" customHeight="false" outlineLevel="0" collapsed="false">
      <c r="A16" s="86" t="s">
        <v>13</v>
      </c>
      <c r="B16" s="159" t="n">
        <f aca="false">1/8</f>
        <v>0.125</v>
      </c>
      <c r="C16" s="132" t="n">
        <f aca="false">AVERAGE(E16:W16)</f>
        <v>10</v>
      </c>
      <c r="D16" s="160" t="n">
        <v>1</v>
      </c>
      <c r="E16" s="165"/>
      <c r="F16" s="166"/>
      <c r="G16" s="167"/>
      <c r="H16" s="168"/>
      <c r="I16" s="166"/>
      <c r="J16" s="169" t="n">
        <v>10</v>
      </c>
      <c r="K16" s="167"/>
      <c r="L16" s="167"/>
      <c r="M16" s="168"/>
      <c r="N16" s="166"/>
      <c r="O16" s="167"/>
      <c r="P16" s="167"/>
      <c r="Q16" s="167"/>
      <c r="R16" s="168"/>
      <c r="S16" s="166"/>
      <c r="T16" s="167"/>
      <c r="U16" s="167"/>
      <c r="V16" s="168"/>
      <c r="W16" s="170" t="n">
        <v>10</v>
      </c>
      <c r="X16" s="171"/>
      <c r="Z16" s="172"/>
      <c r="AA16" s="172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customFormat="false" ht="14.9" hidden="false" customHeight="false" outlineLevel="0" collapsed="false">
      <c r="A17" s="86" t="s">
        <v>14</v>
      </c>
      <c r="B17" s="159" t="n">
        <f aca="false">1/8</f>
        <v>0.125</v>
      </c>
      <c r="C17" s="132" t="n">
        <f aca="false">AVERAGE(E17:W17)</f>
        <v>10</v>
      </c>
      <c r="D17" s="160"/>
      <c r="E17" s="165"/>
      <c r="F17" s="166"/>
      <c r="G17" s="167"/>
      <c r="H17" s="168"/>
      <c r="I17" s="166"/>
      <c r="J17" s="167"/>
      <c r="K17" s="167"/>
      <c r="L17" s="167"/>
      <c r="M17" s="170" t="n">
        <v>10</v>
      </c>
      <c r="N17" s="166"/>
      <c r="O17" s="167"/>
      <c r="P17" s="167"/>
      <c r="Q17" s="167"/>
      <c r="R17" s="168"/>
      <c r="S17" s="166"/>
      <c r="T17" s="167"/>
      <c r="U17" s="167"/>
      <c r="V17" s="168"/>
      <c r="W17" s="168"/>
      <c r="X17" s="171"/>
      <c r="Z17" s="172"/>
      <c r="AA17" s="172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customFormat="false" ht="14.9" hidden="false" customHeight="false" outlineLevel="0" collapsed="false">
      <c r="A18" s="86" t="s">
        <v>15</v>
      </c>
      <c r="B18" s="159" t="n">
        <f aca="false">1/8</f>
        <v>0.125</v>
      </c>
      <c r="C18" s="132" t="n">
        <f aca="false">AVERAGE(E18:W18)</f>
        <v>10</v>
      </c>
      <c r="D18" s="160"/>
      <c r="E18" s="165"/>
      <c r="F18" s="166"/>
      <c r="G18" s="167"/>
      <c r="H18" s="168"/>
      <c r="I18" s="166"/>
      <c r="J18" s="167"/>
      <c r="K18" s="169" t="n">
        <v>10</v>
      </c>
      <c r="L18" s="167"/>
      <c r="M18" s="168"/>
      <c r="N18" s="166"/>
      <c r="O18" s="167"/>
      <c r="P18" s="167"/>
      <c r="Q18" s="167"/>
      <c r="R18" s="168"/>
      <c r="S18" s="166"/>
      <c r="T18" s="167"/>
      <c r="U18" s="167"/>
      <c r="V18" s="168"/>
      <c r="W18" s="170" t="n">
        <v>10</v>
      </c>
      <c r="X18" s="171"/>
      <c r="Z18" s="172"/>
      <c r="AA18" s="172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customFormat="false" ht="14.9" hidden="false" customHeight="false" outlineLevel="0" collapsed="false">
      <c r="A19" s="86" t="s">
        <v>16</v>
      </c>
      <c r="B19" s="159" t="n">
        <f aca="false">1/8</f>
        <v>0.125</v>
      </c>
      <c r="C19" s="132" t="n">
        <f aca="false">AVERAGE(E19:W19)</f>
        <v>10</v>
      </c>
      <c r="D19" s="160" t="n">
        <v>1</v>
      </c>
      <c r="E19" s="139"/>
      <c r="F19" s="166"/>
      <c r="G19" s="167"/>
      <c r="H19" s="168"/>
      <c r="I19" s="166"/>
      <c r="J19" s="167"/>
      <c r="K19" s="169" t="n">
        <v>10</v>
      </c>
      <c r="L19" s="167"/>
      <c r="M19" s="168"/>
      <c r="N19" s="166"/>
      <c r="O19" s="167"/>
      <c r="P19" s="167"/>
      <c r="Q19" s="167"/>
      <c r="R19" s="168"/>
      <c r="S19" s="166"/>
      <c r="T19" s="167"/>
      <c r="U19" s="167"/>
      <c r="V19" s="168"/>
      <c r="W19" s="170" t="n">
        <v>10</v>
      </c>
      <c r="X19" s="171"/>
      <c r="Z19" s="172"/>
      <c r="AA19" s="172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customFormat="false" ht="14.9" hidden="false" customHeight="false" outlineLevel="0" collapsed="false">
      <c r="A20" s="86" t="s">
        <v>17</v>
      </c>
      <c r="B20" s="159" t="n">
        <f aca="false">1/8</f>
        <v>0.125</v>
      </c>
      <c r="C20" s="132" t="n">
        <f aca="false">AVERAGE(E20:W20)</f>
        <v>10</v>
      </c>
      <c r="D20" s="160" t="n">
        <v>1</v>
      </c>
      <c r="E20" s="139"/>
      <c r="F20" s="166"/>
      <c r="G20" s="169" t="n">
        <v>10</v>
      </c>
      <c r="H20" s="168"/>
      <c r="I20" s="166"/>
      <c r="J20" s="169" t="n">
        <v>10</v>
      </c>
      <c r="K20" s="167"/>
      <c r="L20" s="169" t="n">
        <v>10</v>
      </c>
      <c r="M20" s="170" t="n">
        <v>10</v>
      </c>
      <c r="N20" s="166"/>
      <c r="O20" s="167"/>
      <c r="P20" s="167"/>
      <c r="Q20" s="167"/>
      <c r="R20" s="168"/>
      <c r="S20" s="166"/>
      <c r="T20" s="167"/>
      <c r="U20" s="167"/>
      <c r="V20" s="170" t="n">
        <v>10</v>
      </c>
      <c r="W20" s="170" t="n">
        <v>10</v>
      </c>
      <c r="X20" s="171"/>
      <c r="Z20" s="172"/>
      <c r="AA20" s="172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customFormat="false" ht="13.8" hidden="false" customHeight="false" outlineLevel="0" collapsed="false">
      <c r="A21" s="86" t="s">
        <v>18</v>
      </c>
      <c r="B21" s="159" t="n">
        <f aca="false">1/8</f>
        <v>0.125</v>
      </c>
      <c r="C21" s="132" t="n">
        <f aca="false">AVERAGE(E21:W21)</f>
        <v>10</v>
      </c>
      <c r="D21" s="160" t="n">
        <v>1</v>
      </c>
      <c r="E21" s="143" t="n">
        <v>10</v>
      </c>
      <c r="F21" s="144"/>
      <c r="G21" s="147"/>
      <c r="H21" s="148"/>
      <c r="I21" s="144"/>
      <c r="J21" s="147"/>
      <c r="K21" s="147"/>
      <c r="L21" s="147"/>
      <c r="M21" s="148"/>
      <c r="N21" s="144"/>
      <c r="O21" s="147"/>
      <c r="P21" s="147"/>
      <c r="Q21" s="147"/>
      <c r="R21" s="148"/>
      <c r="S21" s="144"/>
      <c r="T21" s="147"/>
      <c r="U21" s="147"/>
      <c r="V21" s="148"/>
      <c r="W21" s="148"/>
      <c r="X21" s="148"/>
      <c r="Z21" s="172"/>
      <c r="AA21" s="17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customFormat="false" ht="14.2" hidden="false" customHeight="false" outlineLevel="0" collapsed="false">
      <c r="A22" s="173" t="s">
        <v>33</v>
      </c>
      <c r="B22" s="174" t="n">
        <f aca="false">SUM(B14:B21)</f>
        <v>1</v>
      </c>
      <c r="C22" s="175" t="n">
        <f aca="false">C14*B14+C15*B15+C16*B16+C17*B17+C18*B18+C19*B19+C20*B20+C21*B21</f>
        <v>10</v>
      </c>
      <c r="D22" s="176"/>
      <c r="E22" s="155" t="n">
        <f aca="false">AVERAGE(E14:E21)</f>
        <v>10</v>
      </c>
      <c r="F22" s="155"/>
      <c r="G22" s="155" t="n">
        <f aca="false">AVERAGE(G14:G21)</f>
        <v>10</v>
      </c>
      <c r="H22" s="155"/>
      <c r="I22" s="155"/>
      <c r="J22" s="155" t="n">
        <f aca="false">AVERAGE(J14:J21)</f>
        <v>10</v>
      </c>
      <c r="K22" s="155" t="n">
        <f aca="false">AVERAGE(K14:K21)</f>
        <v>10</v>
      </c>
      <c r="L22" s="155" t="n">
        <f aca="false">AVERAGE(L14:L21)</f>
        <v>10</v>
      </c>
      <c r="M22" s="155" t="n">
        <f aca="false">AVERAGE(M14:M21)</f>
        <v>10</v>
      </c>
      <c r="N22" s="155"/>
      <c r="O22" s="155"/>
      <c r="P22" s="155"/>
      <c r="Q22" s="155"/>
      <c r="R22" s="155"/>
      <c r="S22" s="155"/>
      <c r="T22" s="155"/>
      <c r="U22" s="155"/>
      <c r="V22" s="155" t="n">
        <f aca="false">AVERAGE(V14:V21)</f>
        <v>10</v>
      </c>
      <c r="W22" s="156" t="n">
        <f aca="false">AVERAGE(W14:W21)</f>
        <v>10</v>
      </c>
      <c r="X22" s="157"/>
      <c r="Z22" s="172"/>
      <c r="AA22" s="172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customFormat="false" ht="8.5" hidden="false" customHeight="true" outlineLevel="0" collapsed="false">
      <c r="A23" s="158"/>
      <c r="B23" s="158"/>
      <c r="C23" s="15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customFormat="false" ht="16.25" hidden="false" customHeight="true" outlineLevel="0" collapsed="false">
      <c r="A24" s="177" t="s">
        <v>11</v>
      </c>
      <c r="B24" s="178" t="n">
        <f aca="false">1/8</f>
        <v>0.125</v>
      </c>
      <c r="C24" s="132" t="n">
        <f aca="false">AVERAGE(E24:W24)</f>
        <v>10</v>
      </c>
      <c r="D24" s="179" t="n">
        <v>1</v>
      </c>
      <c r="E24" s="125" t="n">
        <v>10</v>
      </c>
      <c r="F24" s="129"/>
      <c r="G24" s="127"/>
      <c r="H24" s="128"/>
      <c r="I24" s="129"/>
      <c r="J24" s="127"/>
      <c r="K24" s="127"/>
      <c r="L24" s="127"/>
      <c r="M24" s="128"/>
      <c r="N24" s="129"/>
      <c r="O24" s="127"/>
      <c r="P24" s="127"/>
      <c r="Q24" s="127"/>
      <c r="R24" s="128"/>
      <c r="S24" s="129"/>
      <c r="T24" s="127"/>
      <c r="U24" s="127"/>
      <c r="V24" s="128"/>
      <c r="W24" s="128"/>
      <c r="X24" s="128"/>
      <c r="Z24" s="180" t="s">
        <v>63</v>
      </c>
      <c r="AA24" s="181" t="s">
        <v>64</v>
      </c>
      <c r="AB24" s="182" t="s">
        <v>65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customFormat="false" ht="14.2" hidden="false" customHeight="false" outlineLevel="0" collapsed="false">
      <c r="A25" s="90" t="s">
        <v>12</v>
      </c>
      <c r="B25" s="183" t="n">
        <f aca="false">1/8</f>
        <v>0.125</v>
      </c>
      <c r="C25" s="132" t="n">
        <f aca="false">AVERAGE(E25:W25)</f>
        <v>10</v>
      </c>
      <c r="D25" s="184" t="n">
        <v>1</v>
      </c>
      <c r="E25" s="134" t="n">
        <v>10</v>
      </c>
      <c r="F25" s="135"/>
      <c r="G25" s="136"/>
      <c r="H25" s="137"/>
      <c r="I25" s="135"/>
      <c r="J25" s="136"/>
      <c r="K25" s="136"/>
      <c r="L25" s="136"/>
      <c r="M25" s="137"/>
      <c r="N25" s="135"/>
      <c r="O25" s="136"/>
      <c r="P25" s="136"/>
      <c r="Q25" s="136"/>
      <c r="R25" s="137"/>
      <c r="S25" s="135"/>
      <c r="T25" s="136"/>
      <c r="U25" s="136"/>
      <c r="V25" s="137"/>
      <c r="W25" s="137"/>
      <c r="X25" s="137"/>
      <c r="Z25" s="185" t="s">
        <v>32</v>
      </c>
      <c r="AA25" s="186" t="n">
        <f aca="false">1/7</f>
        <v>0.142857142857143</v>
      </c>
      <c r="AB25" s="187" t="n">
        <f aca="false">C12</f>
        <v>10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customFormat="false" ht="14.2" hidden="false" customHeight="false" outlineLevel="0" collapsed="false">
      <c r="A26" s="90" t="s">
        <v>13</v>
      </c>
      <c r="B26" s="183" t="n">
        <f aca="false">1/8</f>
        <v>0.125</v>
      </c>
      <c r="C26" s="132" t="n">
        <f aca="false">AVERAGE(E26:W26)</f>
        <v>10</v>
      </c>
      <c r="D26" s="184"/>
      <c r="E26" s="139"/>
      <c r="F26" s="135"/>
      <c r="G26" s="136"/>
      <c r="H26" s="137"/>
      <c r="I26" s="135"/>
      <c r="J26" s="136"/>
      <c r="K26" s="136"/>
      <c r="L26" s="136"/>
      <c r="M26" s="137"/>
      <c r="N26" s="135"/>
      <c r="O26" s="136"/>
      <c r="P26" s="140" t="n">
        <v>10</v>
      </c>
      <c r="Q26" s="140" t="n">
        <v>10</v>
      </c>
      <c r="R26" s="137"/>
      <c r="S26" s="135"/>
      <c r="T26" s="136"/>
      <c r="U26" s="136"/>
      <c r="V26" s="137"/>
      <c r="W26" s="137"/>
      <c r="X26" s="137"/>
      <c r="Z26" s="188" t="s">
        <v>33</v>
      </c>
      <c r="AA26" s="189" t="n">
        <f aca="false">1/7</f>
        <v>0.142857142857143</v>
      </c>
      <c r="AB26" s="190" t="n">
        <f aca="false">C22</f>
        <v>10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customFormat="false" ht="14.2" hidden="false" customHeight="false" outlineLevel="0" collapsed="false">
      <c r="A27" s="90" t="s">
        <v>14</v>
      </c>
      <c r="B27" s="183" t="n">
        <f aca="false">1/8</f>
        <v>0.125</v>
      </c>
      <c r="C27" s="132" t="n">
        <f aca="false">AVERAGE(E27:W27)</f>
        <v>10</v>
      </c>
      <c r="D27" s="184"/>
      <c r="E27" s="139"/>
      <c r="F27" s="135"/>
      <c r="G27" s="136"/>
      <c r="H27" s="137"/>
      <c r="I27" s="135"/>
      <c r="J27" s="136"/>
      <c r="K27" s="136"/>
      <c r="L27" s="136"/>
      <c r="M27" s="137"/>
      <c r="N27" s="135"/>
      <c r="O27" s="140" t="n">
        <v>10</v>
      </c>
      <c r="P27" s="140" t="n">
        <v>10</v>
      </c>
      <c r="Q27" s="136"/>
      <c r="R27" s="137"/>
      <c r="S27" s="135"/>
      <c r="T27" s="136"/>
      <c r="U27" s="136"/>
      <c r="V27" s="137"/>
      <c r="W27" s="191" t="n">
        <v>10</v>
      </c>
      <c r="X27" s="192"/>
      <c r="Z27" s="193" t="s">
        <v>34</v>
      </c>
      <c r="AA27" s="194" t="n">
        <f aca="false">1/7</f>
        <v>0.142857142857143</v>
      </c>
      <c r="AB27" s="195" t="n">
        <f aca="false">C32</f>
        <v>10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customFormat="false" ht="14.2" hidden="false" customHeight="false" outlineLevel="0" collapsed="false">
      <c r="A28" s="90" t="s">
        <v>15</v>
      </c>
      <c r="B28" s="183" t="n">
        <f aca="false">1/8</f>
        <v>0.125</v>
      </c>
      <c r="C28" s="132" t="n">
        <f aca="false">AVERAGE(E28:W28)</f>
        <v>10</v>
      </c>
      <c r="D28" s="184" t="n">
        <v>1</v>
      </c>
      <c r="E28" s="139"/>
      <c r="F28" s="135"/>
      <c r="G28" s="136"/>
      <c r="H28" s="137"/>
      <c r="I28" s="135"/>
      <c r="J28" s="136"/>
      <c r="K28" s="136"/>
      <c r="L28" s="136"/>
      <c r="M28" s="137"/>
      <c r="N28" s="196" t="n">
        <v>10</v>
      </c>
      <c r="O28" s="140" t="n">
        <v>10</v>
      </c>
      <c r="P28" s="136"/>
      <c r="Q28" s="136"/>
      <c r="R28" s="137"/>
      <c r="S28" s="135"/>
      <c r="T28" s="136"/>
      <c r="U28" s="136"/>
      <c r="V28" s="137"/>
      <c r="W28" s="191" t="n">
        <v>10</v>
      </c>
      <c r="X28" s="192"/>
      <c r="Z28" s="197" t="s">
        <v>35</v>
      </c>
      <c r="AA28" s="198" t="n">
        <f aca="false">1/7</f>
        <v>0.142857142857143</v>
      </c>
      <c r="AB28" s="199" t="n">
        <f aca="false">C45</f>
        <v>10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customFormat="false" ht="14.2" hidden="false" customHeight="false" outlineLevel="0" collapsed="false">
      <c r="A29" s="90" t="s">
        <v>16</v>
      </c>
      <c r="B29" s="183" t="n">
        <f aca="false">1/8</f>
        <v>0.125</v>
      </c>
      <c r="C29" s="132" t="n">
        <f aca="false">AVERAGE(E29:X29)</f>
        <v>10</v>
      </c>
      <c r="D29" s="184" t="n">
        <v>1</v>
      </c>
      <c r="E29" s="200"/>
      <c r="F29" s="201"/>
      <c r="G29" s="202"/>
      <c r="H29" s="203"/>
      <c r="I29" s="201"/>
      <c r="J29" s="202"/>
      <c r="K29" s="202"/>
      <c r="L29" s="202"/>
      <c r="M29" s="203"/>
      <c r="N29" s="201"/>
      <c r="O29" s="202"/>
      <c r="P29" s="202"/>
      <c r="Q29" s="202"/>
      <c r="R29" s="203"/>
      <c r="S29" s="201"/>
      <c r="T29" s="202"/>
      <c r="U29" s="202"/>
      <c r="V29" s="203"/>
      <c r="W29" s="171"/>
      <c r="X29" s="204" t="n">
        <v>10</v>
      </c>
      <c r="Z29" s="205" t="s">
        <v>36</v>
      </c>
      <c r="AA29" s="206" t="n">
        <f aca="false">1/7</f>
        <v>0.142857142857143</v>
      </c>
      <c r="AB29" s="207" t="n">
        <f aca="false">C55</f>
        <v>10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customFormat="false" ht="14.2" hidden="false" customHeight="false" outlineLevel="0" collapsed="false">
      <c r="A30" s="90" t="s">
        <v>17</v>
      </c>
      <c r="B30" s="183" t="n">
        <f aca="false">1/8</f>
        <v>0.125</v>
      </c>
      <c r="C30" s="132" t="n">
        <f aca="false">AVERAGE(E30:W30)</f>
        <v>10</v>
      </c>
      <c r="D30" s="184" t="n">
        <v>1</v>
      </c>
      <c r="E30" s="139"/>
      <c r="F30" s="135"/>
      <c r="G30" s="136"/>
      <c r="H30" s="137"/>
      <c r="I30" s="135"/>
      <c r="J30" s="136"/>
      <c r="K30" s="136"/>
      <c r="L30" s="136"/>
      <c r="M30" s="137"/>
      <c r="N30" s="135"/>
      <c r="O30" s="136"/>
      <c r="P30" s="136"/>
      <c r="Q30" s="136"/>
      <c r="R30" s="191" t="n">
        <v>10</v>
      </c>
      <c r="S30" s="135"/>
      <c r="T30" s="136"/>
      <c r="U30" s="136"/>
      <c r="V30" s="137"/>
      <c r="W30" s="191" t="n">
        <v>10</v>
      </c>
      <c r="X30" s="192"/>
      <c r="Z30" s="208" t="s">
        <v>37</v>
      </c>
      <c r="AA30" s="209" t="n">
        <f aca="false">1/7</f>
        <v>0.142857142857143</v>
      </c>
      <c r="AB30" s="210" t="n">
        <f aca="false">C65</f>
        <v>10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customFormat="false" ht="14.2" hidden="false" customHeight="false" outlineLevel="0" collapsed="false">
      <c r="A31" s="90" t="s">
        <v>18</v>
      </c>
      <c r="B31" s="183" t="n">
        <f aca="false">1/8</f>
        <v>0.125</v>
      </c>
      <c r="C31" s="132" t="n">
        <f aca="false">AVERAGE(E31:W31)</f>
        <v>10</v>
      </c>
      <c r="D31" s="184" t="n">
        <v>1</v>
      </c>
      <c r="E31" s="143"/>
      <c r="F31" s="211"/>
      <c r="G31" s="212"/>
      <c r="H31" s="213"/>
      <c r="I31" s="211"/>
      <c r="J31" s="212"/>
      <c r="K31" s="212"/>
      <c r="L31" s="212"/>
      <c r="M31" s="213"/>
      <c r="N31" s="211"/>
      <c r="O31" s="212"/>
      <c r="P31" s="212"/>
      <c r="Q31" s="212"/>
      <c r="R31" s="214" t="n">
        <v>10</v>
      </c>
      <c r="S31" s="211"/>
      <c r="T31" s="212"/>
      <c r="U31" s="212"/>
      <c r="V31" s="214" t="n">
        <v>10</v>
      </c>
      <c r="W31" s="214" t="n">
        <v>10</v>
      </c>
      <c r="X31" s="215"/>
      <c r="Z31" s="216" t="s">
        <v>38</v>
      </c>
      <c r="AA31" s="217" t="n">
        <f aca="false">1/7</f>
        <v>0.142857142857143</v>
      </c>
      <c r="AB31" s="218" t="n">
        <f aca="false">C76</f>
        <v>10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customFormat="false" ht="14.2" hidden="false" customHeight="false" outlineLevel="0" collapsed="false">
      <c r="A32" s="219" t="s">
        <v>34</v>
      </c>
      <c r="B32" s="220" t="n">
        <f aca="false">SUM(B24:B31)</f>
        <v>1</v>
      </c>
      <c r="C32" s="221" t="n">
        <f aca="false">C24*B24+C25*B25+C26*B26+C27*B27+C28*B28+C29*B29+C30*B30+C31*B31</f>
        <v>10</v>
      </c>
      <c r="D32" s="176"/>
      <c r="E32" s="153" t="n">
        <f aca="false">AVERAGE(E24:E31)</f>
        <v>10</v>
      </c>
      <c r="F32" s="153"/>
      <c r="G32" s="153"/>
      <c r="H32" s="153"/>
      <c r="I32" s="153"/>
      <c r="J32" s="153"/>
      <c r="K32" s="153"/>
      <c r="L32" s="153"/>
      <c r="M32" s="153"/>
      <c r="N32" s="155" t="n">
        <f aca="false">AVERAGE(N24:N31)</f>
        <v>10</v>
      </c>
      <c r="O32" s="155" t="n">
        <f aca="false">AVERAGE(O24:O31)</f>
        <v>10</v>
      </c>
      <c r="P32" s="155" t="n">
        <f aca="false">AVERAGE(P24:P31)</f>
        <v>10</v>
      </c>
      <c r="Q32" s="155" t="n">
        <f aca="false">AVERAGE(Q24:Q31)</f>
        <v>10</v>
      </c>
      <c r="R32" s="155" t="n">
        <f aca="false">AVERAGE(R24:R31)</f>
        <v>10</v>
      </c>
      <c r="S32" s="153"/>
      <c r="T32" s="153"/>
      <c r="U32" s="153"/>
      <c r="V32" s="155" t="n">
        <f aca="false">AVERAGE(V24:V31)</f>
        <v>10</v>
      </c>
      <c r="W32" s="156" t="n">
        <f aca="false">AVERAGE(W24:W31)</f>
        <v>10</v>
      </c>
      <c r="X32" s="157"/>
      <c r="Z32" s="222" t="s">
        <v>66</v>
      </c>
      <c r="AA32" s="223" t="n">
        <f aca="false">SUM(AA25:AA31)</f>
        <v>1</v>
      </c>
      <c r="AB32" s="224" t="n">
        <f aca="false">SUM(AB25:AB31)/7</f>
        <v>10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customFormat="false" ht="8.5" hidden="false" customHeight="true" outlineLevel="0" collapsed="false">
      <c r="A33" s="158"/>
      <c r="B33" s="158"/>
      <c r="C33" s="15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customFormat="false" ht="14.2" hidden="false" customHeight="false" outlineLevel="0" collapsed="false">
      <c r="A34" s="225" t="s">
        <v>11</v>
      </c>
      <c r="B34" s="226" t="n">
        <f aca="false">1/11</f>
        <v>0.0909090909090909</v>
      </c>
      <c r="C34" s="123" t="n">
        <f aca="false">AVERAGE(E34:W34)</f>
        <v>10</v>
      </c>
      <c r="D34" s="227" t="n">
        <v>1</v>
      </c>
      <c r="E34" s="228"/>
      <c r="F34" s="162"/>
      <c r="G34" s="163"/>
      <c r="H34" s="164"/>
      <c r="I34" s="162"/>
      <c r="J34" s="163"/>
      <c r="K34" s="229" t="n">
        <v>10</v>
      </c>
      <c r="L34" s="163"/>
      <c r="M34" s="164"/>
      <c r="N34" s="162"/>
      <c r="O34" s="163"/>
      <c r="P34" s="163"/>
      <c r="Q34" s="163"/>
      <c r="R34" s="164"/>
      <c r="S34" s="162"/>
      <c r="T34" s="163"/>
      <c r="U34" s="163"/>
      <c r="V34" s="164"/>
      <c r="W34" s="230" t="n">
        <v>10</v>
      </c>
      <c r="X34" s="23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customFormat="false" ht="14.2" hidden="false" customHeight="false" outlineLevel="0" collapsed="false">
      <c r="A35" s="92" t="s">
        <v>12</v>
      </c>
      <c r="B35" s="232" t="n">
        <f aca="false">1/11</f>
        <v>0.0909090909090909</v>
      </c>
      <c r="C35" s="132" t="n">
        <f aca="false">AVERAGE(E35:W35)</f>
        <v>10</v>
      </c>
      <c r="D35" s="233" t="n">
        <v>1</v>
      </c>
      <c r="E35" s="165"/>
      <c r="F35" s="166"/>
      <c r="G35" s="167"/>
      <c r="H35" s="168"/>
      <c r="I35" s="166"/>
      <c r="J35" s="169" t="n">
        <v>10</v>
      </c>
      <c r="K35" s="167"/>
      <c r="L35" s="169" t="n">
        <v>10</v>
      </c>
      <c r="M35" s="168"/>
      <c r="N35" s="166"/>
      <c r="O35" s="167"/>
      <c r="P35" s="167"/>
      <c r="Q35" s="167"/>
      <c r="R35" s="168"/>
      <c r="S35" s="166"/>
      <c r="T35" s="167"/>
      <c r="U35" s="167"/>
      <c r="V35" s="168"/>
      <c r="W35" s="170" t="n">
        <v>10</v>
      </c>
      <c r="X35" s="203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customFormat="false" ht="14.2" hidden="false" customHeight="false" outlineLevel="0" collapsed="false">
      <c r="A36" s="92" t="s">
        <v>13</v>
      </c>
      <c r="B36" s="232" t="n">
        <f aca="false">1/11</f>
        <v>0.0909090909090909</v>
      </c>
      <c r="C36" s="132" t="n">
        <f aca="false">AVERAGE(E36:W36)</f>
        <v>10</v>
      </c>
      <c r="D36" s="233" t="n">
        <v>1</v>
      </c>
      <c r="E36" s="165"/>
      <c r="F36" s="166"/>
      <c r="G36" s="167"/>
      <c r="H36" s="168"/>
      <c r="I36" s="234" t="n">
        <v>10</v>
      </c>
      <c r="J36" s="167"/>
      <c r="K36" s="167"/>
      <c r="L36" s="167"/>
      <c r="M36" s="168"/>
      <c r="N36" s="166"/>
      <c r="O36" s="167"/>
      <c r="P36" s="167"/>
      <c r="Q36" s="167"/>
      <c r="R36" s="168"/>
      <c r="S36" s="166"/>
      <c r="T36" s="167"/>
      <c r="U36" s="167"/>
      <c r="V36" s="168"/>
      <c r="W36" s="170" t="n">
        <v>10</v>
      </c>
      <c r="X36" s="203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customFormat="false" ht="14.2" hidden="false" customHeight="false" outlineLevel="0" collapsed="false">
      <c r="A37" s="92" t="s">
        <v>14</v>
      </c>
      <c r="B37" s="232" t="n">
        <f aca="false">1/11</f>
        <v>0.0909090909090909</v>
      </c>
      <c r="C37" s="132" t="n">
        <f aca="false">AVERAGE(E37:W37)</f>
        <v>10</v>
      </c>
      <c r="D37" s="233" t="n">
        <v>1</v>
      </c>
      <c r="E37" s="165"/>
      <c r="F37" s="166"/>
      <c r="G37" s="167"/>
      <c r="H37" s="168"/>
      <c r="I37" s="234" t="n">
        <v>10</v>
      </c>
      <c r="J37" s="167"/>
      <c r="K37" s="167"/>
      <c r="L37" s="167"/>
      <c r="M37" s="168"/>
      <c r="N37" s="166"/>
      <c r="O37" s="167"/>
      <c r="P37" s="167"/>
      <c r="Q37" s="167"/>
      <c r="R37" s="168"/>
      <c r="S37" s="166"/>
      <c r="T37" s="167"/>
      <c r="U37" s="167"/>
      <c r="V37" s="168"/>
      <c r="W37" s="170" t="n">
        <v>10</v>
      </c>
      <c r="X37" s="203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customFormat="false" ht="14.2" hidden="false" customHeight="false" outlineLevel="0" collapsed="false">
      <c r="A38" s="92" t="s">
        <v>15</v>
      </c>
      <c r="B38" s="232" t="n">
        <f aca="false">1/11</f>
        <v>0.0909090909090909</v>
      </c>
      <c r="C38" s="132" t="n">
        <f aca="false">AVERAGE(E38:W38)</f>
        <v>10</v>
      </c>
      <c r="D38" s="233"/>
      <c r="E38" s="165"/>
      <c r="F38" s="166"/>
      <c r="G38" s="167"/>
      <c r="H38" s="168"/>
      <c r="I38" s="166"/>
      <c r="J38" s="167"/>
      <c r="K38" s="169" t="n">
        <v>10</v>
      </c>
      <c r="L38" s="167"/>
      <c r="M38" s="168"/>
      <c r="N38" s="166"/>
      <c r="O38" s="167"/>
      <c r="P38" s="167"/>
      <c r="Q38" s="167"/>
      <c r="R38" s="168"/>
      <c r="S38" s="166"/>
      <c r="T38" s="167"/>
      <c r="U38" s="167"/>
      <c r="V38" s="168"/>
      <c r="W38" s="170" t="n">
        <v>10</v>
      </c>
      <c r="X38" s="203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customFormat="false" ht="14.2" hidden="false" customHeight="false" outlineLevel="0" collapsed="false">
      <c r="A39" s="92" t="s">
        <v>16</v>
      </c>
      <c r="B39" s="232" t="n">
        <f aca="false">1/11</f>
        <v>0.0909090909090909</v>
      </c>
      <c r="C39" s="132" t="n">
        <f aca="false">AVERAGE(E39:W39)</f>
        <v>10</v>
      </c>
      <c r="D39" s="233"/>
      <c r="E39" s="165"/>
      <c r="F39" s="166"/>
      <c r="G39" s="167"/>
      <c r="H39" s="168"/>
      <c r="I39" s="166"/>
      <c r="J39" s="167"/>
      <c r="K39" s="167"/>
      <c r="L39" s="167"/>
      <c r="M39" s="168"/>
      <c r="N39" s="166"/>
      <c r="O39" s="167"/>
      <c r="P39" s="167"/>
      <c r="Q39" s="167"/>
      <c r="R39" s="168"/>
      <c r="S39" s="166"/>
      <c r="T39" s="167"/>
      <c r="U39" s="167"/>
      <c r="V39" s="168"/>
      <c r="W39" s="170" t="n">
        <v>10</v>
      </c>
      <c r="X39" s="203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customFormat="false" ht="14.2" hidden="false" customHeight="false" outlineLevel="0" collapsed="false">
      <c r="A40" s="92" t="s">
        <v>17</v>
      </c>
      <c r="B40" s="232" t="n">
        <f aca="false">1/11</f>
        <v>0.0909090909090909</v>
      </c>
      <c r="C40" s="132" t="n">
        <f aca="false">AVERAGE(E40:W40)</f>
        <v>10</v>
      </c>
      <c r="D40" s="233"/>
      <c r="E40" s="165"/>
      <c r="F40" s="166"/>
      <c r="G40" s="167"/>
      <c r="H40" s="168"/>
      <c r="I40" s="234" t="n">
        <v>10</v>
      </c>
      <c r="J40" s="167"/>
      <c r="K40" s="167"/>
      <c r="L40" s="167"/>
      <c r="M40" s="168"/>
      <c r="N40" s="166"/>
      <c r="O40" s="167"/>
      <c r="P40" s="167"/>
      <c r="Q40" s="167"/>
      <c r="R40" s="168"/>
      <c r="S40" s="166"/>
      <c r="T40" s="167"/>
      <c r="U40" s="167"/>
      <c r="V40" s="168"/>
      <c r="W40" s="170" t="n">
        <v>10</v>
      </c>
      <c r="X40" s="203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customFormat="false" ht="14.2" hidden="false" customHeight="false" outlineLevel="0" collapsed="false">
      <c r="A41" s="92" t="s">
        <v>18</v>
      </c>
      <c r="B41" s="232" t="n">
        <f aca="false">1/11</f>
        <v>0.0909090909090909</v>
      </c>
      <c r="C41" s="132" t="n">
        <f aca="false">AVERAGE(E41:W41)</f>
        <v>10</v>
      </c>
      <c r="D41" s="233"/>
      <c r="E41" s="165"/>
      <c r="F41" s="166"/>
      <c r="G41" s="167"/>
      <c r="H41" s="168"/>
      <c r="I41" s="166"/>
      <c r="J41" s="167"/>
      <c r="K41" s="167"/>
      <c r="L41" s="169" t="n">
        <v>10</v>
      </c>
      <c r="M41" s="168"/>
      <c r="N41" s="166"/>
      <c r="O41" s="167"/>
      <c r="P41" s="167"/>
      <c r="Q41" s="167"/>
      <c r="R41" s="168"/>
      <c r="S41" s="166"/>
      <c r="T41" s="167"/>
      <c r="U41" s="167"/>
      <c r="V41" s="168"/>
      <c r="W41" s="168"/>
      <c r="X41" s="203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customFormat="false" ht="14.2" hidden="false" customHeight="false" outlineLevel="0" collapsed="false">
      <c r="A42" s="92" t="s">
        <v>19</v>
      </c>
      <c r="B42" s="232" t="n">
        <f aca="false">1/11</f>
        <v>0.0909090909090909</v>
      </c>
      <c r="C42" s="132" t="n">
        <f aca="false">AVERAGE(E42:W42)</f>
        <v>10</v>
      </c>
      <c r="D42" s="233"/>
      <c r="E42" s="165"/>
      <c r="F42" s="166"/>
      <c r="G42" s="167"/>
      <c r="H42" s="168"/>
      <c r="I42" s="234" t="n">
        <v>10</v>
      </c>
      <c r="J42" s="169" t="n">
        <v>10</v>
      </c>
      <c r="K42" s="167"/>
      <c r="L42" s="169" t="n">
        <v>10</v>
      </c>
      <c r="M42" s="168"/>
      <c r="N42" s="166"/>
      <c r="O42" s="167"/>
      <c r="P42" s="167"/>
      <c r="Q42" s="167"/>
      <c r="R42" s="168"/>
      <c r="S42" s="166"/>
      <c r="T42" s="167"/>
      <c r="U42" s="167"/>
      <c r="V42" s="168"/>
      <c r="W42" s="170" t="n">
        <v>10</v>
      </c>
      <c r="X42" s="20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customFormat="false" ht="14.2" hidden="false" customHeight="false" outlineLevel="0" collapsed="false">
      <c r="A43" s="92" t="s">
        <v>20</v>
      </c>
      <c r="B43" s="232" t="n">
        <f aca="false">1/11</f>
        <v>0.0909090909090909</v>
      </c>
      <c r="C43" s="132" t="n">
        <f aca="false">AVERAGE(E43:W43)</f>
        <v>10</v>
      </c>
      <c r="D43" s="233"/>
      <c r="E43" s="165"/>
      <c r="F43" s="166"/>
      <c r="G43" s="167"/>
      <c r="H43" s="168"/>
      <c r="I43" s="166"/>
      <c r="J43" s="167"/>
      <c r="K43" s="167"/>
      <c r="L43" s="167"/>
      <c r="M43" s="170" t="n">
        <v>10</v>
      </c>
      <c r="N43" s="166"/>
      <c r="O43" s="167"/>
      <c r="P43" s="167"/>
      <c r="Q43" s="167"/>
      <c r="R43" s="168"/>
      <c r="S43" s="166"/>
      <c r="T43" s="167"/>
      <c r="U43" s="167"/>
      <c r="V43" s="168"/>
      <c r="W43" s="170" t="n">
        <v>10</v>
      </c>
      <c r="X43" s="203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customFormat="false" ht="14.2" hidden="false" customHeight="false" outlineLevel="0" collapsed="false">
      <c r="A44" s="92" t="s">
        <v>21</v>
      </c>
      <c r="B44" s="232" t="n">
        <f aca="false">1/11</f>
        <v>0.0909090909090909</v>
      </c>
      <c r="C44" s="132" t="n">
        <f aca="false">AVERAGE(E44:W44)</f>
        <v>10</v>
      </c>
      <c r="D44" s="233"/>
      <c r="E44" s="235"/>
      <c r="F44" s="144"/>
      <c r="G44" s="147"/>
      <c r="H44" s="148"/>
      <c r="I44" s="144"/>
      <c r="J44" s="147"/>
      <c r="K44" s="147"/>
      <c r="L44" s="147"/>
      <c r="M44" s="146" t="n">
        <v>10</v>
      </c>
      <c r="N44" s="144"/>
      <c r="O44" s="147"/>
      <c r="P44" s="147"/>
      <c r="Q44" s="147"/>
      <c r="R44" s="148"/>
      <c r="S44" s="144"/>
      <c r="T44" s="147"/>
      <c r="U44" s="147"/>
      <c r="V44" s="146" t="n">
        <v>10</v>
      </c>
      <c r="W44" s="146" t="n">
        <v>10</v>
      </c>
      <c r="X44" s="236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4.2" hidden="false" customHeight="false" outlineLevel="0" collapsed="false">
      <c r="A45" s="237" t="s">
        <v>35</v>
      </c>
      <c r="B45" s="238" t="n">
        <f aca="false">SUM(B34:B44)</f>
        <v>1</v>
      </c>
      <c r="C45" s="239" t="n">
        <f aca="false">C34*B34+C35*B35+C36*B36+C37*B37+C38*B38+C39*B39+C40*B40+C41*B41+C42*B42+C43*B43+C44*B44</f>
        <v>10</v>
      </c>
      <c r="D45" s="240"/>
      <c r="E45" s="156"/>
      <c r="F45" s="156"/>
      <c r="G45" s="156"/>
      <c r="H45" s="156"/>
      <c r="I45" s="156" t="n">
        <f aca="false">AVERAGE(I34:I44)</f>
        <v>10</v>
      </c>
      <c r="J45" s="156" t="n">
        <f aca="false">AVERAGE(J34:J44)</f>
        <v>10</v>
      </c>
      <c r="K45" s="156" t="n">
        <f aca="false">AVERAGE(K34:K44)</f>
        <v>10</v>
      </c>
      <c r="L45" s="156" t="n">
        <f aca="false">AVERAGE(L34:L44)</f>
        <v>10</v>
      </c>
      <c r="M45" s="156" t="n">
        <f aca="false">AVERAGE(M34:M44)</f>
        <v>10</v>
      </c>
      <c r="N45" s="156"/>
      <c r="O45" s="156"/>
      <c r="P45" s="156"/>
      <c r="Q45" s="156"/>
      <c r="R45" s="156"/>
      <c r="S45" s="156"/>
      <c r="T45" s="156"/>
      <c r="U45" s="156"/>
      <c r="V45" s="156" t="n">
        <f aca="false">AVERAGE(V34:V44)</f>
        <v>10</v>
      </c>
      <c r="W45" s="156" t="n">
        <f aca="false">AVERAGE(W34:W44)</f>
        <v>10</v>
      </c>
      <c r="X45" s="157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8.5" hidden="false" customHeight="true" outlineLevel="0" collapsed="false">
      <c r="A46" s="158"/>
      <c r="B46" s="158"/>
      <c r="C46" s="15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41"/>
      <c r="X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4.2" hidden="false" customHeight="false" outlineLevel="0" collapsed="false">
      <c r="A47" s="242" t="s">
        <v>11</v>
      </c>
      <c r="B47" s="243" t="n">
        <f aca="false">1/8</f>
        <v>0.125</v>
      </c>
      <c r="C47" s="123" t="n">
        <f aca="false">AVERAGE(E47:W47)</f>
        <v>10</v>
      </c>
      <c r="D47" s="244" t="n">
        <v>1</v>
      </c>
      <c r="E47" s="228"/>
      <c r="F47" s="162"/>
      <c r="G47" s="163"/>
      <c r="H47" s="164"/>
      <c r="I47" s="162"/>
      <c r="J47" s="163"/>
      <c r="K47" s="163"/>
      <c r="L47" s="163"/>
      <c r="M47" s="164"/>
      <c r="N47" s="245" t="n">
        <v>10</v>
      </c>
      <c r="O47" s="163"/>
      <c r="P47" s="163"/>
      <c r="Q47" s="163"/>
      <c r="R47" s="164"/>
      <c r="S47" s="162"/>
      <c r="T47" s="163"/>
      <c r="U47" s="163"/>
      <c r="V47" s="164"/>
      <c r="W47" s="230" t="n">
        <v>10</v>
      </c>
      <c r="X47" s="23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4.2" hidden="false" customHeight="false" outlineLevel="0" collapsed="false">
      <c r="A48" s="246" t="s">
        <v>12</v>
      </c>
      <c r="B48" s="247" t="n">
        <f aca="false">1/8</f>
        <v>0.125</v>
      </c>
      <c r="C48" s="132" t="n">
        <f aca="false">AVERAGE(E48:W48)</f>
        <v>10</v>
      </c>
      <c r="D48" s="248" t="n">
        <v>1</v>
      </c>
      <c r="E48" s="165"/>
      <c r="F48" s="166"/>
      <c r="G48" s="167"/>
      <c r="H48" s="168"/>
      <c r="I48" s="166"/>
      <c r="J48" s="167"/>
      <c r="K48" s="167"/>
      <c r="L48" s="167"/>
      <c r="M48" s="168"/>
      <c r="N48" s="234" t="n">
        <v>10</v>
      </c>
      <c r="O48" s="167"/>
      <c r="P48" s="167"/>
      <c r="Q48" s="167"/>
      <c r="R48" s="168"/>
      <c r="S48" s="166"/>
      <c r="T48" s="167"/>
      <c r="U48" s="167"/>
      <c r="V48" s="168"/>
      <c r="W48" s="170" t="n">
        <v>10</v>
      </c>
      <c r="X48" s="20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4.2" hidden="false" customHeight="false" outlineLevel="0" collapsed="false">
      <c r="A49" s="246" t="s">
        <v>13</v>
      </c>
      <c r="B49" s="247" t="n">
        <f aca="false">1/8</f>
        <v>0.125</v>
      </c>
      <c r="C49" s="132" t="n">
        <f aca="false">AVERAGE(E49:W49)</f>
        <v>10</v>
      </c>
      <c r="D49" s="248"/>
      <c r="E49" s="165"/>
      <c r="F49" s="166"/>
      <c r="G49" s="167"/>
      <c r="H49" s="168"/>
      <c r="I49" s="166"/>
      <c r="J49" s="167"/>
      <c r="K49" s="167"/>
      <c r="L49" s="167"/>
      <c r="M49" s="168"/>
      <c r="N49" s="234" t="n">
        <v>10</v>
      </c>
      <c r="O49" s="167"/>
      <c r="P49" s="167"/>
      <c r="Q49" s="167"/>
      <c r="R49" s="168"/>
      <c r="S49" s="166"/>
      <c r="T49" s="167"/>
      <c r="U49" s="167"/>
      <c r="V49" s="168"/>
      <c r="W49" s="170" t="n">
        <v>10</v>
      </c>
      <c r="X49" s="20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4.2" hidden="false" customHeight="false" outlineLevel="0" collapsed="false">
      <c r="A50" s="246" t="s">
        <v>14</v>
      </c>
      <c r="B50" s="247" t="n">
        <f aca="false">1/8</f>
        <v>0.125</v>
      </c>
      <c r="C50" s="132" t="n">
        <f aca="false">AVERAGE(E50:W50)</f>
        <v>10</v>
      </c>
      <c r="D50" s="248"/>
      <c r="E50" s="165"/>
      <c r="F50" s="166"/>
      <c r="G50" s="167"/>
      <c r="H50" s="168"/>
      <c r="I50" s="166"/>
      <c r="J50" s="167"/>
      <c r="K50" s="167"/>
      <c r="L50" s="167"/>
      <c r="M50" s="168"/>
      <c r="N50" s="234" t="n">
        <v>10</v>
      </c>
      <c r="O50" s="167"/>
      <c r="P50" s="167"/>
      <c r="Q50" s="169" t="n">
        <v>10</v>
      </c>
      <c r="R50" s="168"/>
      <c r="S50" s="166"/>
      <c r="T50" s="167"/>
      <c r="U50" s="167"/>
      <c r="V50" s="168"/>
      <c r="W50" s="170" t="n">
        <v>10</v>
      </c>
      <c r="X50" s="20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4.2" hidden="false" customHeight="false" outlineLevel="0" collapsed="false">
      <c r="A51" s="246" t="s">
        <v>15</v>
      </c>
      <c r="B51" s="247" t="n">
        <f aca="false">1/8</f>
        <v>0.125</v>
      </c>
      <c r="C51" s="132" t="n">
        <f aca="false">AVERAGE(E51:W51)</f>
        <v>10</v>
      </c>
      <c r="D51" s="248" t="n">
        <v>1</v>
      </c>
      <c r="E51" s="165"/>
      <c r="F51" s="166"/>
      <c r="G51" s="167"/>
      <c r="H51" s="168"/>
      <c r="I51" s="166"/>
      <c r="J51" s="167"/>
      <c r="K51" s="167"/>
      <c r="L51" s="167"/>
      <c r="M51" s="168"/>
      <c r="N51" s="166"/>
      <c r="O51" s="169" t="n">
        <v>10</v>
      </c>
      <c r="P51" s="167"/>
      <c r="Q51" s="167"/>
      <c r="R51" s="168"/>
      <c r="S51" s="166"/>
      <c r="T51" s="167"/>
      <c r="U51" s="167"/>
      <c r="V51" s="168"/>
      <c r="W51" s="170" t="n">
        <v>10</v>
      </c>
      <c r="X51" s="203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4.2" hidden="false" customHeight="false" outlineLevel="0" collapsed="false">
      <c r="A52" s="246" t="s">
        <v>16</v>
      </c>
      <c r="B52" s="247" t="n">
        <f aca="false">1/8</f>
        <v>0.125</v>
      </c>
      <c r="C52" s="132" t="n">
        <f aca="false">AVERAGE(E52:W52)</f>
        <v>10</v>
      </c>
      <c r="D52" s="248" t="n">
        <v>1</v>
      </c>
      <c r="E52" s="165"/>
      <c r="F52" s="166"/>
      <c r="G52" s="167"/>
      <c r="H52" s="168"/>
      <c r="I52" s="166"/>
      <c r="J52" s="167"/>
      <c r="K52" s="167"/>
      <c r="L52" s="167"/>
      <c r="M52" s="168"/>
      <c r="N52" s="166"/>
      <c r="O52" s="169" t="n">
        <v>10</v>
      </c>
      <c r="P52" s="167"/>
      <c r="Q52" s="167"/>
      <c r="R52" s="168"/>
      <c r="S52" s="166"/>
      <c r="T52" s="167"/>
      <c r="U52" s="167"/>
      <c r="V52" s="168"/>
      <c r="W52" s="170" t="n">
        <v>10</v>
      </c>
      <c r="X52" s="203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4.2" hidden="false" customHeight="false" outlineLevel="0" collapsed="false">
      <c r="A53" s="246" t="s">
        <v>17</v>
      </c>
      <c r="B53" s="247" t="n">
        <f aca="false">1/8</f>
        <v>0.125</v>
      </c>
      <c r="C53" s="132" t="n">
        <f aca="false">AVERAGE(E53:W53)</f>
        <v>10</v>
      </c>
      <c r="D53" s="248" t="n">
        <v>1</v>
      </c>
      <c r="E53" s="165"/>
      <c r="F53" s="166"/>
      <c r="G53" s="167"/>
      <c r="H53" s="168"/>
      <c r="I53" s="166"/>
      <c r="J53" s="167"/>
      <c r="K53" s="167"/>
      <c r="L53" s="167"/>
      <c r="M53" s="168"/>
      <c r="N53" s="166"/>
      <c r="O53" s="169" t="n">
        <v>10</v>
      </c>
      <c r="P53" s="167"/>
      <c r="Q53" s="167"/>
      <c r="R53" s="168"/>
      <c r="S53" s="166"/>
      <c r="T53" s="167"/>
      <c r="U53" s="167"/>
      <c r="V53" s="168"/>
      <c r="W53" s="170" t="n">
        <v>10</v>
      </c>
      <c r="X53" s="20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4.2" hidden="false" customHeight="false" outlineLevel="0" collapsed="false">
      <c r="A54" s="246" t="s">
        <v>18</v>
      </c>
      <c r="B54" s="247" t="n">
        <f aca="false">1/8</f>
        <v>0.125</v>
      </c>
      <c r="C54" s="132" t="n">
        <f aca="false">AVERAGE(E54:W54)</f>
        <v>10</v>
      </c>
      <c r="D54" s="248" t="n">
        <v>1</v>
      </c>
      <c r="E54" s="235"/>
      <c r="F54" s="144"/>
      <c r="G54" s="147"/>
      <c r="H54" s="148"/>
      <c r="I54" s="144"/>
      <c r="J54" s="147"/>
      <c r="K54" s="147"/>
      <c r="L54" s="147"/>
      <c r="M54" s="148"/>
      <c r="N54" s="144"/>
      <c r="O54" s="147"/>
      <c r="P54" s="147"/>
      <c r="Q54" s="147"/>
      <c r="R54" s="146" t="n">
        <v>10</v>
      </c>
      <c r="S54" s="144"/>
      <c r="T54" s="147"/>
      <c r="U54" s="147"/>
      <c r="V54" s="146" t="n">
        <v>10</v>
      </c>
      <c r="W54" s="146" t="n">
        <v>10</v>
      </c>
      <c r="X54" s="236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4.2" hidden="false" customHeight="false" outlineLevel="0" collapsed="false">
      <c r="A55" s="249" t="s">
        <v>36</v>
      </c>
      <c r="B55" s="250" t="n">
        <f aca="false">SUM(B47:B54)</f>
        <v>1</v>
      </c>
      <c r="C55" s="251" t="n">
        <f aca="false">C47*B47+C48*B48+C49*B49+C50*B50+C51*B51+C52*B52+C53*B53+C54*B54</f>
        <v>10</v>
      </c>
      <c r="D55" s="240"/>
      <c r="E55" s="156"/>
      <c r="F55" s="156"/>
      <c r="G55" s="156"/>
      <c r="H55" s="156"/>
      <c r="I55" s="156"/>
      <c r="J55" s="156"/>
      <c r="K55" s="156"/>
      <c r="L55" s="156"/>
      <c r="M55" s="156"/>
      <c r="N55" s="156" t="n">
        <f aca="false">AVERAGE(N47:N54)</f>
        <v>10</v>
      </c>
      <c r="O55" s="156" t="n">
        <f aca="false">AVERAGE(O47:O54)</f>
        <v>10</v>
      </c>
      <c r="P55" s="156"/>
      <c r="Q55" s="156" t="n">
        <f aca="false">AVERAGE(Q47:Q54)</f>
        <v>10</v>
      </c>
      <c r="R55" s="156" t="n">
        <f aca="false">AVERAGE(R47:R54)</f>
        <v>10</v>
      </c>
      <c r="S55" s="156"/>
      <c r="T55" s="156"/>
      <c r="U55" s="156"/>
      <c r="V55" s="156" t="n">
        <f aca="false">AVERAGE(V47:V54)</f>
        <v>10</v>
      </c>
      <c r="W55" s="156" t="n">
        <f aca="false">AVERAGE(W47:W54)</f>
        <v>10</v>
      </c>
      <c r="X55" s="157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="1" customFormat="true" ht="8.5" hidden="false" customHeight="true" outlineLevel="0" collapsed="false">
      <c r="A56" s="241"/>
      <c r="B56" s="241"/>
      <c r="C56" s="241"/>
      <c r="W56" s="241"/>
      <c r="AMJ56" s="0"/>
    </row>
    <row r="57" customFormat="false" ht="14.2" hidden="false" customHeight="false" outlineLevel="0" collapsed="false">
      <c r="A57" s="252" t="s">
        <v>11</v>
      </c>
      <c r="B57" s="253" t="n">
        <f aca="false">1/8</f>
        <v>0.125</v>
      </c>
      <c r="C57" s="123" t="n">
        <f aca="false">AVERAGE(E57:W57)</f>
        <v>10</v>
      </c>
      <c r="D57" s="254" t="n">
        <v>1</v>
      </c>
      <c r="E57" s="228"/>
      <c r="F57" s="162"/>
      <c r="G57" s="163"/>
      <c r="H57" s="164"/>
      <c r="I57" s="162"/>
      <c r="J57" s="163"/>
      <c r="K57" s="163"/>
      <c r="L57" s="163"/>
      <c r="M57" s="164"/>
      <c r="N57" s="162"/>
      <c r="O57" s="163"/>
      <c r="P57" s="229" t="n">
        <v>10</v>
      </c>
      <c r="Q57" s="163"/>
      <c r="R57" s="164"/>
      <c r="S57" s="162"/>
      <c r="T57" s="163"/>
      <c r="U57" s="163"/>
      <c r="V57" s="164"/>
      <c r="W57" s="230" t="n">
        <v>10</v>
      </c>
      <c r="X57" s="23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4.2" hidden="false" customHeight="false" outlineLevel="0" collapsed="false">
      <c r="A58" s="94" t="s">
        <v>12</v>
      </c>
      <c r="B58" s="255" t="n">
        <f aca="false">1/8</f>
        <v>0.125</v>
      </c>
      <c r="C58" s="132" t="n">
        <f aca="false">AVERAGE(E58:W58)</f>
        <v>10</v>
      </c>
      <c r="D58" s="256" t="n">
        <v>1</v>
      </c>
      <c r="E58" s="165"/>
      <c r="F58" s="166"/>
      <c r="G58" s="167"/>
      <c r="H58" s="168"/>
      <c r="I58" s="166"/>
      <c r="J58" s="167"/>
      <c r="K58" s="167"/>
      <c r="L58" s="167"/>
      <c r="M58" s="168"/>
      <c r="N58" s="166"/>
      <c r="O58" s="167"/>
      <c r="P58" s="169" t="n">
        <v>10</v>
      </c>
      <c r="Q58" s="167"/>
      <c r="R58" s="168"/>
      <c r="S58" s="166"/>
      <c r="T58" s="167"/>
      <c r="U58" s="167"/>
      <c r="V58" s="168"/>
      <c r="W58" s="170" t="n">
        <v>10</v>
      </c>
      <c r="X58" s="203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4.2" hidden="false" customHeight="false" outlineLevel="0" collapsed="false">
      <c r="A59" s="94" t="s">
        <v>13</v>
      </c>
      <c r="B59" s="255" t="n">
        <f aca="false">1/8</f>
        <v>0.125</v>
      </c>
      <c r="C59" s="132" t="n">
        <f aca="false">AVERAGE(E59:W59)</f>
        <v>10</v>
      </c>
      <c r="D59" s="256"/>
      <c r="E59" s="165"/>
      <c r="F59" s="166"/>
      <c r="G59" s="167"/>
      <c r="H59" s="168"/>
      <c r="I59" s="166"/>
      <c r="J59" s="167"/>
      <c r="K59" s="167"/>
      <c r="L59" s="167"/>
      <c r="M59" s="168"/>
      <c r="N59" s="166"/>
      <c r="O59" s="167"/>
      <c r="P59" s="169" t="n">
        <v>10</v>
      </c>
      <c r="Q59" s="167"/>
      <c r="R59" s="168"/>
      <c r="S59" s="166"/>
      <c r="T59" s="167"/>
      <c r="U59" s="167"/>
      <c r="V59" s="168"/>
      <c r="W59" s="170" t="n">
        <v>10</v>
      </c>
      <c r="X59" s="203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4.2" hidden="false" customHeight="false" outlineLevel="0" collapsed="false">
      <c r="A60" s="94" t="s">
        <v>14</v>
      </c>
      <c r="B60" s="255" t="n">
        <f aca="false">1/8</f>
        <v>0.125</v>
      </c>
      <c r="C60" s="132" t="n">
        <f aca="false">AVERAGE(E60:W60)</f>
        <v>10</v>
      </c>
      <c r="D60" s="256"/>
      <c r="E60" s="165"/>
      <c r="F60" s="166"/>
      <c r="G60" s="167"/>
      <c r="H60" s="168"/>
      <c r="I60" s="166"/>
      <c r="J60" s="167"/>
      <c r="K60" s="167"/>
      <c r="L60" s="167"/>
      <c r="M60" s="168"/>
      <c r="N60" s="166"/>
      <c r="O60" s="167"/>
      <c r="P60" s="169" t="n">
        <v>10</v>
      </c>
      <c r="Q60" s="169" t="n">
        <v>10</v>
      </c>
      <c r="R60" s="168"/>
      <c r="S60" s="166"/>
      <c r="T60" s="167"/>
      <c r="U60" s="167"/>
      <c r="V60" s="168"/>
      <c r="W60" s="170" t="n">
        <v>10</v>
      </c>
      <c r="X60" s="20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4.2" hidden="false" customHeight="false" outlineLevel="0" collapsed="false">
      <c r="A61" s="94" t="s">
        <v>15</v>
      </c>
      <c r="B61" s="255" t="n">
        <f aca="false">1/8</f>
        <v>0.125</v>
      </c>
      <c r="C61" s="132" t="n">
        <f aca="false">AVERAGE(E61:W61)</f>
        <v>10</v>
      </c>
      <c r="D61" s="256" t="n">
        <v>1</v>
      </c>
      <c r="E61" s="165"/>
      <c r="F61" s="166"/>
      <c r="G61" s="167"/>
      <c r="H61" s="168"/>
      <c r="I61" s="166"/>
      <c r="J61" s="167"/>
      <c r="K61" s="167"/>
      <c r="L61" s="167"/>
      <c r="M61" s="168"/>
      <c r="N61" s="234" t="n">
        <v>10</v>
      </c>
      <c r="O61" s="167"/>
      <c r="P61" s="167"/>
      <c r="Q61" s="169" t="n">
        <v>10</v>
      </c>
      <c r="R61" s="168"/>
      <c r="S61" s="166"/>
      <c r="T61" s="167"/>
      <c r="U61" s="167"/>
      <c r="V61" s="168"/>
      <c r="W61" s="170" t="n">
        <v>10</v>
      </c>
      <c r="X61" s="20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4.9" hidden="false" customHeight="false" outlineLevel="0" collapsed="false">
      <c r="A62" s="94" t="s">
        <v>16</v>
      </c>
      <c r="B62" s="255" t="n">
        <f aca="false">1/8</f>
        <v>0.125</v>
      </c>
      <c r="C62" s="132" t="n">
        <f aca="false">AVERAGE(E62:X62)</f>
        <v>10</v>
      </c>
      <c r="D62" s="256" t="n">
        <v>1</v>
      </c>
      <c r="E62" s="257"/>
      <c r="F62" s="258"/>
      <c r="G62" s="259"/>
      <c r="H62" s="171"/>
      <c r="I62" s="258"/>
      <c r="J62" s="259"/>
      <c r="K62" s="259"/>
      <c r="L62" s="259"/>
      <c r="M62" s="171"/>
      <c r="N62" s="258"/>
      <c r="O62" s="259"/>
      <c r="P62" s="259"/>
      <c r="Q62" s="259"/>
      <c r="R62" s="171"/>
      <c r="S62" s="258"/>
      <c r="T62" s="259"/>
      <c r="U62" s="259"/>
      <c r="V62" s="171"/>
      <c r="W62" s="171"/>
      <c r="X62" s="260" t="n">
        <v>10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4.9" hidden="false" customHeight="false" outlineLevel="0" collapsed="false">
      <c r="A63" s="94" t="s">
        <v>17</v>
      </c>
      <c r="B63" s="255" t="n">
        <f aca="false">1/8</f>
        <v>0.125</v>
      </c>
      <c r="C63" s="132" t="n">
        <f aca="false">AVERAGE(E63:X63)</f>
        <v>10</v>
      </c>
      <c r="D63" s="256" t="n">
        <v>1</v>
      </c>
      <c r="E63" s="257"/>
      <c r="F63" s="258"/>
      <c r="G63" s="259"/>
      <c r="H63" s="171"/>
      <c r="I63" s="258"/>
      <c r="J63" s="259"/>
      <c r="K63" s="259"/>
      <c r="L63" s="259"/>
      <c r="M63" s="171"/>
      <c r="N63" s="258"/>
      <c r="O63" s="259"/>
      <c r="P63" s="259"/>
      <c r="Q63" s="259"/>
      <c r="R63" s="171"/>
      <c r="S63" s="258"/>
      <c r="T63" s="259"/>
      <c r="U63" s="259"/>
      <c r="V63" s="171"/>
      <c r="W63" s="171"/>
      <c r="X63" s="260" t="n">
        <v>10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4.2" hidden="false" customHeight="false" outlineLevel="0" collapsed="false">
      <c r="A64" s="94" t="s">
        <v>18</v>
      </c>
      <c r="B64" s="255" t="n">
        <f aca="false">1/8</f>
        <v>0.125</v>
      </c>
      <c r="C64" s="132" t="n">
        <f aca="false">AVERAGE(E64:W64)</f>
        <v>10</v>
      </c>
      <c r="D64" s="256" t="n">
        <v>1</v>
      </c>
      <c r="E64" s="235"/>
      <c r="F64" s="261" t="n">
        <v>10</v>
      </c>
      <c r="G64" s="145" t="n">
        <v>10</v>
      </c>
      <c r="H64" s="148"/>
      <c r="I64" s="144"/>
      <c r="J64" s="147"/>
      <c r="K64" s="147"/>
      <c r="L64" s="147"/>
      <c r="M64" s="148"/>
      <c r="N64" s="144"/>
      <c r="O64" s="147"/>
      <c r="P64" s="147"/>
      <c r="Q64" s="147"/>
      <c r="R64" s="148"/>
      <c r="S64" s="144"/>
      <c r="T64" s="147"/>
      <c r="U64" s="147"/>
      <c r="V64" s="148"/>
      <c r="W64" s="146" t="n">
        <v>10</v>
      </c>
      <c r="X64" s="236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4.2" hidden="false" customHeight="false" outlineLevel="0" collapsed="false">
      <c r="A65" s="262" t="s">
        <v>37</v>
      </c>
      <c r="B65" s="263" t="n">
        <f aca="false">SUM(B57:B64)</f>
        <v>1</v>
      </c>
      <c r="C65" s="264" t="n">
        <f aca="false">C57*B57+C58*B58+C59*B59+C60*B60+C61*B61+C62*B62+C63*B63+C64*B64</f>
        <v>10</v>
      </c>
      <c r="D65" s="240"/>
      <c r="E65" s="156"/>
      <c r="F65" s="156" t="n">
        <f aca="false">AVERAGE(F57:F64)</f>
        <v>10</v>
      </c>
      <c r="G65" s="156" t="n">
        <f aca="false">AVERAGE(G57:G64)</f>
        <v>10</v>
      </c>
      <c r="H65" s="156"/>
      <c r="I65" s="156"/>
      <c r="J65" s="156"/>
      <c r="K65" s="156"/>
      <c r="L65" s="156"/>
      <c r="M65" s="156"/>
      <c r="N65" s="156" t="n">
        <f aca="false">AVERAGE(N57:N64)</f>
        <v>10</v>
      </c>
      <c r="O65" s="156"/>
      <c r="P65" s="156" t="n">
        <f aca="false">AVERAGE(P57:P64)</f>
        <v>10</v>
      </c>
      <c r="Q65" s="156" t="n">
        <f aca="false">AVERAGE(Q57:Q64)</f>
        <v>10</v>
      </c>
      <c r="R65" s="156"/>
      <c r="S65" s="156"/>
      <c r="T65" s="156"/>
      <c r="U65" s="156"/>
      <c r="V65" s="156"/>
      <c r="W65" s="156" t="n">
        <f aca="false">AVERAGE(W57:W64)</f>
        <v>10</v>
      </c>
      <c r="X65" s="157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="1" customFormat="true" ht="8.5" hidden="false" customHeight="true" outlineLevel="0" collapsed="false">
      <c r="W66" s="241"/>
      <c r="AMJ66" s="0"/>
    </row>
    <row r="67" customFormat="false" ht="14.2" hidden="false" customHeight="false" outlineLevel="0" collapsed="false">
      <c r="A67" s="265" t="n">
        <f aca="false">AVERAGE(E64:W64)</f>
        <v>10</v>
      </c>
      <c r="B67" s="266" t="n">
        <f aca="false">1/9</f>
        <v>0.111111111111111</v>
      </c>
      <c r="C67" s="123" t="n">
        <f aca="false">AVERAGE(E67:W67)</f>
        <v>10</v>
      </c>
      <c r="D67" s="267" t="n">
        <v>1</v>
      </c>
      <c r="E67" s="228"/>
      <c r="F67" s="162"/>
      <c r="G67" s="163"/>
      <c r="H67" s="164"/>
      <c r="I67" s="162"/>
      <c r="J67" s="163"/>
      <c r="K67" s="163"/>
      <c r="L67" s="163"/>
      <c r="M67" s="164"/>
      <c r="N67" s="162"/>
      <c r="O67" s="163"/>
      <c r="P67" s="163"/>
      <c r="Q67" s="163"/>
      <c r="R67" s="164"/>
      <c r="S67" s="245" t="n">
        <v>10</v>
      </c>
      <c r="T67" s="163"/>
      <c r="U67" s="163"/>
      <c r="V67" s="164"/>
      <c r="W67" s="230" t="n">
        <v>10</v>
      </c>
      <c r="X67" s="23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4.2" hidden="false" customHeight="false" outlineLevel="0" collapsed="false">
      <c r="A68" s="268" t="s">
        <v>12</v>
      </c>
      <c r="B68" s="269" t="n">
        <f aca="false">1/9</f>
        <v>0.111111111111111</v>
      </c>
      <c r="C68" s="132" t="n">
        <f aca="false">AVERAGE(E68:W68)</f>
        <v>10</v>
      </c>
      <c r="D68" s="270" t="n">
        <v>1</v>
      </c>
      <c r="E68" s="165"/>
      <c r="F68" s="166"/>
      <c r="G68" s="167"/>
      <c r="H68" s="168"/>
      <c r="I68" s="166"/>
      <c r="J68" s="167"/>
      <c r="K68" s="167"/>
      <c r="L68" s="167"/>
      <c r="M68" s="168"/>
      <c r="N68" s="166"/>
      <c r="O68" s="167"/>
      <c r="P68" s="167"/>
      <c r="Q68" s="167"/>
      <c r="R68" s="168"/>
      <c r="S68" s="234" t="n">
        <v>10</v>
      </c>
      <c r="T68" s="167"/>
      <c r="U68" s="167"/>
      <c r="V68" s="168"/>
      <c r="W68" s="170" t="n">
        <v>10</v>
      </c>
      <c r="X68" s="20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4.2" hidden="false" customHeight="false" outlineLevel="0" collapsed="false">
      <c r="A69" s="268" t="s">
        <v>13</v>
      </c>
      <c r="B69" s="269" t="n">
        <f aca="false">1/9</f>
        <v>0.111111111111111</v>
      </c>
      <c r="C69" s="132" t="n">
        <f aca="false">AVERAGE(E69:W69)</f>
        <v>10</v>
      </c>
      <c r="D69" s="270"/>
      <c r="E69" s="165"/>
      <c r="F69" s="166"/>
      <c r="G69" s="167"/>
      <c r="H69" s="168"/>
      <c r="I69" s="166"/>
      <c r="J69" s="167"/>
      <c r="K69" s="167"/>
      <c r="L69" s="167"/>
      <c r="M69" s="168"/>
      <c r="N69" s="166"/>
      <c r="O69" s="167"/>
      <c r="P69" s="167"/>
      <c r="Q69" s="167"/>
      <c r="R69" s="168"/>
      <c r="S69" s="234" t="n">
        <v>10</v>
      </c>
      <c r="T69" s="169" t="n">
        <v>10</v>
      </c>
      <c r="U69" s="167"/>
      <c r="V69" s="168"/>
      <c r="W69" s="170" t="n">
        <v>10</v>
      </c>
      <c r="X69" s="203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4.2" hidden="false" customHeight="false" outlineLevel="0" collapsed="false">
      <c r="A70" s="268" t="s">
        <v>14</v>
      </c>
      <c r="B70" s="269" t="n">
        <f aca="false">1/9</f>
        <v>0.111111111111111</v>
      </c>
      <c r="C70" s="132" t="n">
        <f aca="false">AVERAGE(E70:W70)</f>
        <v>10</v>
      </c>
      <c r="D70" s="270"/>
      <c r="E70" s="165"/>
      <c r="F70" s="166"/>
      <c r="G70" s="167"/>
      <c r="H70" s="168"/>
      <c r="I70" s="166"/>
      <c r="J70" s="167"/>
      <c r="K70" s="167"/>
      <c r="L70" s="167"/>
      <c r="M70" s="168"/>
      <c r="N70" s="166"/>
      <c r="O70" s="167"/>
      <c r="P70" s="167"/>
      <c r="Q70" s="167"/>
      <c r="R70" s="168"/>
      <c r="S70" s="234" t="n">
        <v>10</v>
      </c>
      <c r="T70" s="169" t="n">
        <v>10</v>
      </c>
      <c r="U70" s="167"/>
      <c r="V70" s="168"/>
      <c r="W70" s="170" t="n">
        <v>10</v>
      </c>
      <c r="X70" s="20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4.2" hidden="false" customHeight="false" outlineLevel="0" collapsed="false">
      <c r="A71" s="268" t="s">
        <v>15</v>
      </c>
      <c r="B71" s="269" t="n">
        <f aca="false">1/9</f>
        <v>0.111111111111111</v>
      </c>
      <c r="C71" s="132" t="n">
        <f aca="false">AVERAGE(E71:W71)</f>
        <v>10</v>
      </c>
      <c r="D71" s="270" t="n">
        <v>1</v>
      </c>
      <c r="E71" s="165"/>
      <c r="F71" s="166"/>
      <c r="G71" s="167"/>
      <c r="H71" s="168"/>
      <c r="I71" s="166"/>
      <c r="J71" s="167"/>
      <c r="K71" s="167"/>
      <c r="L71" s="167"/>
      <c r="M71" s="168"/>
      <c r="N71" s="166"/>
      <c r="O71" s="167"/>
      <c r="P71" s="167"/>
      <c r="Q71" s="167"/>
      <c r="R71" s="168"/>
      <c r="S71" s="166"/>
      <c r="T71" s="167"/>
      <c r="U71" s="167"/>
      <c r="V71" s="168"/>
      <c r="W71" s="170" t="n">
        <v>10</v>
      </c>
      <c r="X71" s="20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4.2" hidden="false" customHeight="false" outlineLevel="0" collapsed="false">
      <c r="A72" s="268" t="s">
        <v>16</v>
      </c>
      <c r="B72" s="269" t="n">
        <f aca="false">1/9</f>
        <v>0.111111111111111</v>
      </c>
      <c r="C72" s="132" t="n">
        <f aca="false">AVERAGE(E72:W72)</f>
        <v>10</v>
      </c>
      <c r="D72" s="270" t="n">
        <v>1</v>
      </c>
      <c r="E72" s="165"/>
      <c r="F72" s="166"/>
      <c r="G72" s="167"/>
      <c r="H72" s="168"/>
      <c r="I72" s="166"/>
      <c r="J72" s="167"/>
      <c r="K72" s="167"/>
      <c r="L72" s="167"/>
      <c r="M72" s="168"/>
      <c r="N72" s="166"/>
      <c r="O72" s="167"/>
      <c r="P72" s="167"/>
      <c r="Q72" s="167"/>
      <c r="R72" s="168"/>
      <c r="S72" s="234" t="n">
        <v>10</v>
      </c>
      <c r="T72" s="169" t="n">
        <v>10</v>
      </c>
      <c r="U72" s="169" t="n">
        <v>10</v>
      </c>
      <c r="V72" s="168"/>
      <c r="W72" s="170" t="n">
        <v>10</v>
      </c>
      <c r="X72" s="20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4.2" hidden="false" customHeight="false" outlineLevel="0" collapsed="false">
      <c r="A73" s="268" t="s">
        <v>17</v>
      </c>
      <c r="B73" s="269" t="n">
        <f aca="false">1/9</f>
        <v>0.111111111111111</v>
      </c>
      <c r="C73" s="132" t="n">
        <f aca="false">AVERAGE(E73:X73)</f>
        <v>10</v>
      </c>
      <c r="D73" s="270" t="n">
        <v>1</v>
      </c>
      <c r="E73" s="257"/>
      <c r="F73" s="258"/>
      <c r="G73" s="259"/>
      <c r="H73" s="171"/>
      <c r="I73" s="258"/>
      <c r="J73" s="259"/>
      <c r="K73" s="259"/>
      <c r="L73" s="259"/>
      <c r="M73" s="171"/>
      <c r="N73" s="258"/>
      <c r="O73" s="259"/>
      <c r="P73" s="259"/>
      <c r="Q73" s="259"/>
      <c r="R73" s="171"/>
      <c r="S73" s="258"/>
      <c r="T73" s="259"/>
      <c r="U73" s="259"/>
      <c r="V73" s="171"/>
      <c r="W73" s="171"/>
      <c r="X73" s="271" t="n">
        <v>10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4.2" hidden="false" customHeight="false" outlineLevel="0" collapsed="false">
      <c r="A74" s="268" t="s">
        <v>18</v>
      </c>
      <c r="B74" s="269" t="n">
        <f aca="false">1/9</f>
        <v>0.111111111111111</v>
      </c>
      <c r="C74" s="132" t="n">
        <f aca="false">AVERAGE(E74:W74)</f>
        <v>10</v>
      </c>
      <c r="D74" s="270"/>
      <c r="E74" s="165"/>
      <c r="F74" s="166"/>
      <c r="G74" s="167"/>
      <c r="H74" s="168"/>
      <c r="I74" s="166"/>
      <c r="J74" s="167"/>
      <c r="K74" s="167"/>
      <c r="L74" s="167"/>
      <c r="M74" s="168"/>
      <c r="N74" s="166"/>
      <c r="O74" s="167"/>
      <c r="P74" s="167"/>
      <c r="Q74" s="167"/>
      <c r="R74" s="168"/>
      <c r="S74" s="166"/>
      <c r="T74" s="167"/>
      <c r="U74" s="169" t="n">
        <v>10</v>
      </c>
      <c r="V74" s="168"/>
      <c r="W74" s="170" t="n">
        <v>10</v>
      </c>
      <c r="X74" s="20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4.2" hidden="false" customHeight="false" outlineLevel="0" collapsed="false">
      <c r="A75" s="268" t="s">
        <v>19</v>
      </c>
      <c r="B75" s="269" t="n">
        <f aca="false">1/9</f>
        <v>0.111111111111111</v>
      </c>
      <c r="C75" s="132" t="n">
        <f aca="false">AVERAGE(E75:W75)</f>
        <v>10</v>
      </c>
      <c r="D75" s="270" t="n">
        <v>1</v>
      </c>
      <c r="E75" s="235"/>
      <c r="F75" s="144"/>
      <c r="G75" s="147"/>
      <c r="H75" s="148"/>
      <c r="I75" s="144"/>
      <c r="J75" s="147"/>
      <c r="K75" s="147"/>
      <c r="L75" s="147"/>
      <c r="M75" s="148"/>
      <c r="N75" s="144"/>
      <c r="O75" s="147"/>
      <c r="P75" s="147"/>
      <c r="Q75" s="147"/>
      <c r="R75" s="148"/>
      <c r="S75" s="144"/>
      <c r="T75" s="147"/>
      <c r="U75" s="145" t="n">
        <v>10</v>
      </c>
      <c r="V75" s="148"/>
      <c r="W75" s="146" t="n">
        <v>10</v>
      </c>
      <c r="X75" s="236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4.2" hidden="false" customHeight="false" outlineLevel="0" collapsed="false">
      <c r="A76" s="272" t="s">
        <v>38</v>
      </c>
      <c r="B76" s="273" t="n">
        <f aca="false">SUM(B67:B75)</f>
        <v>1</v>
      </c>
      <c r="C76" s="274" t="n">
        <f aca="false">C67*B67+C68*B68+C69*B69+C70*B70+C71*B71+C72*B72+C73*B73+C74*B74+C75*B75</f>
        <v>10</v>
      </c>
      <c r="D76" s="240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 t="n">
        <f aca="false">AVERAGE(S67:S75)</f>
        <v>10</v>
      </c>
      <c r="T76" s="156" t="n">
        <f aca="false">AVERAGE(T67:T75)</f>
        <v>10</v>
      </c>
      <c r="U76" s="156" t="n">
        <f aca="false">AVERAGE(U67:U75)</f>
        <v>10</v>
      </c>
      <c r="V76" s="156"/>
      <c r="W76" s="156" t="n">
        <f aca="false">AVERAGE(W67:W75)</f>
        <v>10</v>
      </c>
      <c r="X76" s="157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3.8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3.8" hidden="false" customHeight="false" outlineLevel="0" collapsed="false">
      <c r="A78" s="241"/>
      <c r="B78" s="241"/>
      <c r="C78" s="24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3.8" hidden="false" customHeight="false" outlineLevel="0" collapsed="false">
      <c r="A79" s="241"/>
      <c r="B79" s="241"/>
      <c r="C79" s="24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3.8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3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3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3.8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3.8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3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3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3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3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3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3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3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3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3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3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3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3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3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3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3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3.8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3.8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3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3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3.8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3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3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3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3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3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3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3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3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3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3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3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3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3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3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3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3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3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3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3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3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3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3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3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3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3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3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3.8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3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3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3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3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3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3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3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3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3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3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3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3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3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3.8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3.8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3.8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3.8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3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3.8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3.8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3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3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3.8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3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3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3.8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3.8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3.8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3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3.8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3.8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3.8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3.8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3.8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3.8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3.8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3.8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3.8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3.8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3.8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3.8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3.8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3.8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3.8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3.8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3.8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3.8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3.8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3.8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3.8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3.8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3.8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3.8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3.8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3.8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3.8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3.8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3.8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3.8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3.8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3.8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3.8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3.8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3.8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3.8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3.8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3.8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3.8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3.8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3.8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3.8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3.8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3.8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3.8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3.8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3.8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3.8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3.8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3.8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3.8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3.8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3.8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3.8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3.8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3.8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3.8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3.8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3.8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3.8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3.8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3.8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3.8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3.8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3.8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3.8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3.8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3.8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3.8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3.8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3.8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3.8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3.8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3.8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3.8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3.8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3.8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3.8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</row>
    <row r="240" customFormat="false" ht="13.8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</row>
    <row r="241" customFormat="false" ht="13.8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</row>
    <row r="242" customFormat="false" ht="13.8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</row>
    <row r="243" customFormat="false" ht="13.8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</row>
    <row r="244" customFormat="false" ht="13.8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1"/>
    </row>
    <row r="245" customFormat="false" ht="13.8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1"/>
    </row>
    <row r="246" customFormat="false" ht="13.8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1"/>
    </row>
    <row r="247" customFormat="false" ht="13.8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1"/>
    </row>
    <row r="248" customFormat="false" ht="13.8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1"/>
    </row>
    <row r="249" customFormat="false" ht="13.8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1"/>
    </row>
    <row r="250" customFormat="false" ht="13.8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1"/>
    </row>
    <row r="251" customFormat="false" ht="13.8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1"/>
    </row>
    <row r="252" customFormat="false" ht="13.8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1"/>
    </row>
    <row r="253" customFormat="false" ht="13.8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1"/>
    </row>
    <row r="254" customFormat="false" ht="13.8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1"/>
    </row>
    <row r="255" customFormat="false" ht="13.8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1"/>
    </row>
    <row r="256" customFormat="false" ht="13.8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1"/>
    </row>
    <row r="257" customFormat="false" ht="13.8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1"/>
    </row>
    <row r="258" customFormat="false" ht="13.8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1"/>
    </row>
    <row r="259" customFormat="false" ht="13.8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1"/>
    </row>
    <row r="260" customFormat="false" ht="13.8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1"/>
    </row>
    <row r="261" customFormat="false" ht="13.8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1"/>
    </row>
    <row r="262" customFormat="false" ht="13.8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1"/>
    </row>
    <row r="263" customFormat="false" ht="13.8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1"/>
    </row>
    <row r="264" customFormat="false" ht="13.8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1"/>
    </row>
    <row r="265" customFormat="false" ht="13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1"/>
    </row>
    <row r="266" customFormat="false" ht="13.8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1"/>
    </row>
    <row r="267" customFormat="false" ht="13.8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1"/>
    </row>
    <row r="268" customFormat="false" ht="13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1"/>
    </row>
    <row r="269" customFormat="false" ht="13.8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1"/>
    </row>
    <row r="270" customFormat="false" ht="13.8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1"/>
    </row>
    <row r="271" customFormat="false" ht="13.8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1"/>
    </row>
    <row r="272" customFormat="false" ht="13.8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1"/>
    </row>
    <row r="273" customFormat="false" ht="13.8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1"/>
    </row>
    <row r="274" customFormat="false" ht="13.8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1"/>
    </row>
    <row r="275" customFormat="false" ht="13.8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1"/>
    </row>
    <row r="276" customFormat="false" ht="13.8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1"/>
    </row>
    <row r="277" customFormat="false" ht="13.8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1"/>
    </row>
    <row r="278" customFormat="false" ht="13.8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1"/>
    </row>
    <row r="279" customFormat="false" ht="13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1"/>
    </row>
    <row r="280" customFormat="false" ht="13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1"/>
    </row>
    <row r="281" customFormat="false" ht="13.8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1"/>
    </row>
    <row r="282" customFormat="false" ht="13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1"/>
    </row>
    <row r="283" customFormat="false" ht="13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1"/>
    </row>
    <row r="284" customFormat="false" ht="13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1"/>
    </row>
    <row r="285" customFormat="false" ht="13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1"/>
    </row>
    <row r="286" customFormat="false" ht="13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1"/>
    </row>
    <row r="287" customFormat="false" ht="13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1"/>
    </row>
    <row r="288" customFormat="false" ht="13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1"/>
    </row>
    <row r="289" customFormat="false" ht="13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1"/>
    </row>
    <row r="290" customFormat="false" ht="13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1"/>
    </row>
    <row r="291" customFormat="false" ht="13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1"/>
    </row>
    <row r="292" customFormat="false" ht="13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1"/>
    </row>
    <row r="293" customFormat="false" ht="13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1"/>
    </row>
    <row r="294" customFormat="false" ht="13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1"/>
    </row>
    <row r="295" customFormat="false" ht="13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1"/>
    </row>
    <row r="296" customFormat="false" ht="13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1"/>
    </row>
    <row r="297" customFormat="false" ht="13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1"/>
    </row>
    <row r="298" customFormat="false" ht="13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1"/>
    </row>
    <row r="299" customFormat="false" ht="13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1"/>
    </row>
    <row r="300" customFormat="false" ht="13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1"/>
    </row>
    <row r="301" customFormat="false" ht="13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1"/>
    </row>
    <row r="302" customFormat="false" ht="13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1"/>
    </row>
    <row r="303" customFormat="false" ht="13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1"/>
    </row>
    <row r="304" customFormat="false" ht="13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1"/>
    </row>
    <row r="305" customFormat="false" ht="13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1"/>
    </row>
    <row r="306" customFormat="false" ht="13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1"/>
    </row>
    <row r="307" customFormat="false" ht="13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1"/>
    </row>
    <row r="308" customFormat="false" ht="13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1"/>
    </row>
    <row r="309" customFormat="false" ht="13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1"/>
    </row>
    <row r="310" customFormat="false" ht="13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1"/>
    </row>
    <row r="311" customFormat="false" ht="13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1"/>
    </row>
    <row r="312" customFormat="false" ht="13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1"/>
    </row>
    <row r="313" customFormat="false" ht="13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1"/>
    </row>
    <row r="314" customFormat="false" ht="13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1"/>
    </row>
    <row r="315" customFormat="false" ht="13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1"/>
    </row>
    <row r="316" customFormat="false" ht="13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1"/>
    </row>
    <row r="317" customFormat="false" ht="13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1"/>
    </row>
    <row r="318" customFormat="false" ht="13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1"/>
    </row>
    <row r="319" customFormat="false" ht="13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1"/>
    </row>
    <row r="320" customFormat="false" ht="13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1"/>
    </row>
    <row r="321" customFormat="false" ht="13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1"/>
    </row>
    <row r="322" customFormat="false" ht="13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1"/>
    </row>
    <row r="323" customFormat="false" ht="13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1"/>
    </row>
    <row r="324" customFormat="false" ht="13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1"/>
    </row>
    <row r="325" customFormat="false" ht="13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1"/>
    </row>
    <row r="326" customFormat="false" ht="13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1"/>
    </row>
    <row r="327" customFormat="false" ht="13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1"/>
    </row>
    <row r="328" customFormat="false" ht="13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1"/>
    </row>
    <row r="329" customFormat="false" ht="13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1"/>
    </row>
    <row r="330" customFormat="false" ht="13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1"/>
    </row>
    <row r="331" customFormat="false" ht="13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1"/>
    </row>
    <row r="332" customFormat="false" ht="13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1"/>
    </row>
    <row r="333" customFormat="false" ht="13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1"/>
    </row>
    <row r="334" customFormat="false" ht="13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1"/>
    </row>
    <row r="335" customFormat="false" ht="13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1"/>
    </row>
    <row r="336" customFormat="false" ht="13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1"/>
    </row>
    <row r="337" customFormat="false" ht="13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1"/>
    </row>
    <row r="338" customFormat="false" ht="13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1"/>
    </row>
    <row r="339" customFormat="false" ht="13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1"/>
    </row>
    <row r="340" customFormat="false" ht="13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1"/>
    </row>
    <row r="341" customFormat="false" ht="13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1"/>
    </row>
    <row r="342" customFormat="false" ht="13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1"/>
    </row>
    <row r="343" customFormat="false" ht="13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1"/>
    </row>
    <row r="344" customFormat="false" ht="13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1"/>
    </row>
    <row r="345" customFormat="false" ht="13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1"/>
    </row>
    <row r="346" customFormat="false" ht="13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1"/>
    </row>
    <row r="347" customFormat="false" ht="13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1"/>
    </row>
    <row r="348" customFormat="false" ht="13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1"/>
    </row>
    <row r="349" customFormat="false" ht="13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1"/>
    </row>
    <row r="350" customFormat="false" ht="13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1"/>
    </row>
    <row r="351" customFormat="false" ht="13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1"/>
    </row>
    <row r="352" customFormat="false" ht="13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1"/>
    </row>
    <row r="353" customFormat="false" ht="13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1"/>
    </row>
    <row r="354" customFormat="false" ht="13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1"/>
    </row>
    <row r="355" customFormat="false" ht="13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1"/>
    </row>
    <row r="356" customFormat="false" ht="13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1"/>
    </row>
    <row r="357" customFormat="false" ht="13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1"/>
    </row>
    <row r="358" customFormat="false" ht="13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1"/>
    </row>
    <row r="359" customFormat="false" ht="13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1"/>
    </row>
    <row r="360" customFormat="false" ht="13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1"/>
    </row>
    <row r="361" customFormat="false" ht="13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1"/>
    </row>
    <row r="362" customFormat="false" ht="13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1"/>
    </row>
    <row r="363" customFormat="false" ht="13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1"/>
    </row>
    <row r="364" customFormat="false" ht="13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1"/>
    </row>
    <row r="365" customFormat="false" ht="13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1"/>
    </row>
    <row r="366" customFormat="false" ht="13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1"/>
    </row>
    <row r="367" customFormat="false" ht="13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1"/>
    </row>
    <row r="368" customFormat="false" ht="13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1"/>
    </row>
    <row r="369" customFormat="false" ht="13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1"/>
    </row>
    <row r="370" customFormat="false" ht="13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1"/>
    </row>
    <row r="371" customFormat="false" ht="13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1"/>
    </row>
    <row r="372" customFormat="false" ht="13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1"/>
    </row>
    <row r="373" customFormat="false" ht="13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1"/>
    </row>
    <row r="374" customFormat="false" ht="13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1"/>
    </row>
    <row r="375" customFormat="false" ht="13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1"/>
    </row>
    <row r="376" customFormat="false" ht="13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1"/>
    </row>
    <row r="377" customFormat="false" ht="13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1"/>
    </row>
    <row r="378" customFormat="false" ht="13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1"/>
    </row>
    <row r="379" customFormat="false" ht="13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1"/>
    </row>
    <row r="380" customFormat="false" ht="13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1"/>
    </row>
    <row r="381" customFormat="false" ht="13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1"/>
    </row>
    <row r="382" customFormat="false" ht="13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1"/>
    </row>
    <row r="383" customFormat="false" ht="13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1"/>
    </row>
    <row r="384" customFormat="false" ht="13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1"/>
    </row>
    <row r="385" customFormat="false" ht="13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1"/>
    </row>
    <row r="386" customFormat="false" ht="13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1"/>
    </row>
    <row r="387" customFormat="false" ht="13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1"/>
    </row>
    <row r="388" customFormat="false" ht="13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1"/>
    </row>
    <row r="389" customFormat="false" ht="13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1"/>
    </row>
    <row r="390" customFormat="false" ht="13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1"/>
    </row>
    <row r="391" customFormat="false" ht="13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1"/>
    </row>
    <row r="392" customFormat="false" ht="13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1"/>
    </row>
    <row r="393" customFormat="false" ht="13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1"/>
    </row>
    <row r="394" customFormat="false" ht="13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1"/>
    </row>
    <row r="395" customFormat="false" ht="13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1"/>
    </row>
    <row r="396" customFormat="false" ht="13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1"/>
    </row>
    <row r="397" customFormat="false" ht="13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1"/>
    </row>
    <row r="398" customFormat="false" ht="13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1"/>
    </row>
    <row r="399" customFormat="false" ht="13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1"/>
    </row>
    <row r="400" customFormat="false" ht="13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1"/>
    </row>
    <row r="401" customFormat="false" ht="13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1"/>
    </row>
    <row r="402" customFormat="false" ht="13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1"/>
    </row>
    <row r="403" customFormat="false" ht="13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1"/>
    </row>
    <row r="404" customFormat="false" ht="13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1"/>
    </row>
    <row r="405" customFormat="false" ht="13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1"/>
    </row>
    <row r="406" customFormat="false" ht="13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1"/>
    </row>
    <row r="407" customFormat="false" ht="13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1"/>
    </row>
    <row r="408" customFormat="false" ht="13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1"/>
    </row>
    <row r="409" customFormat="false" ht="13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1"/>
    </row>
    <row r="410" customFormat="false" ht="13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1"/>
    </row>
    <row r="411" customFormat="false" ht="13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1"/>
    </row>
    <row r="412" customFormat="false" ht="13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1"/>
    </row>
  </sheetData>
  <mergeCells count="19">
    <mergeCell ref="A2:A4"/>
    <mergeCell ref="B2:B4"/>
    <mergeCell ref="C2:C4"/>
    <mergeCell ref="D2:D4"/>
    <mergeCell ref="E2:W2"/>
    <mergeCell ref="X2:X4"/>
    <mergeCell ref="F3:H3"/>
    <mergeCell ref="I3:M3"/>
    <mergeCell ref="N3:R3"/>
    <mergeCell ref="S3:V3"/>
    <mergeCell ref="W3:W4"/>
    <mergeCell ref="Z15:AA15"/>
    <mergeCell ref="Z16:AA16"/>
    <mergeCell ref="Z17:AA17"/>
    <mergeCell ref="Z18:AA18"/>
    <mergeCell ref="Z19:AA19"/>
    <mergeCell ref="Z20:AA20"/>
    <mergeCell ref="Z21:AA21"/>
    <mergeCell ref="Z22:AA22"/>
  </mergeCells>
  <conditionalFormatting sqref="E6:X10 E14:E20 E34:E43 E47:E53 E57:E63 E66:E74 E24:E30">
    <cfRule type="expression" priority="2" aboveAverage="0" equalAverage="0" bottom="0" percent="0" rank="0" text="" dxfId="1">
      <formula>LEN(TRIM(E6))&gt;0</formula>
    </cfRule>
  </conditionalFormatting>
  <conditionalFormatting sqref="F14:X21 F34:X44 F47:X54 F57:X64 F11:X11 F67:X75 F24:X31">
    <cfRule type="expression" priority="3" aboveAverage="0" equalAverage="0" bottom="0" percent="0" rank="0" text="" dxfId="2">
      <formula>LEN(TRIM(F11))&gt;0</formula>
    </cfRule>
    <cfRule type="expression" priority="4" aboveAverage="0" equalAverage="0" bottom="0" percent="0" rank="0" text="" dxfId="3">
      <formula>LEN(TRIM(F11))&gt;0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63" activeCellId="0" sqref="A63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40.7"/>
  </cols>
  <sheetData>
    <row r="1" customFormat="false" ht="14.9" hidden="false" customHeight="false" outlineLevel="0" collapsed="false">
      <c r="A1" s="275" t="s">
        <v>67</v>
      </c>
    </row>
    <row r="2" customFormat="false" ht="14.05" hidden="false" customHeight="false" outlineLevel="0" collapsed="false">
      <c r="A2" s="275" t="s">
        <v>68</v>
      </c>
    </row>
    <row r="3" customFormat="false" ht="14.05" hidden="false" customHeight="false" outlineLevel="0" collapsed="false">
      <c r="A3" s="275" t="s">
        <v>69</v>
      </c>
    </row>
    <row r="4" customFormat="false" ht="14.05" hidden="false" customHeight="false" outlineLevel="0" collapsed="false">
      <c r="A4" s="275" t="s">
        <v>70</v>
      </c>
    </row>
    <row r="5" customFormat="false" ht="14.05" hidden="false" customHeight="false" outlineLevel="0" collapsed="false">
      <c r="A5" s="275" t="s">
        <v>71</v>
      </c>
    </row>
    <row r="6" customFormat="false" ht="14.05" hidden="false" customHeight="false" outlineLevel="0" collapsed="false">
      <c r="A6" s="275" t="s">
        <v>72</v>
      </c>
    </row>
    <row r="7" customFormat="false" ht="14.05" hidden="false" customHeight="false" outlineLevel="0" collapsed="false">
      <c r="A7" s="275"/>
    </row>
    <row r="8" customFormat="false" ht="14.05" hidden="false" customHeight="false" outlineLevel="0" collapsed="false">
      <c r="A8" s="275" t="s">
        <v>73</v>
      </c>
    </row>
    <row r="9" customFormat="false" ht="14.9" hidden="false" customHeight="false" outlineLevel="0" collapsed="false">
      <c r="A9" s="275" t="s">
        <v>74</v>
      </c>
    </row>
    <row r="10" customFormat="false" ht="14.9" hidden="false" customHeight="false" outlineLevel="0" collapsed="false">
      <c r="A10" s="275" t="s">
        <v>75</v>
      </c>
    </row>
    <row r="11" customFormat="false" ht="14.9" hidden="false" customHeight="false" outlineLevel="0" collapsed="false">
      <c r="A11" s="275" t="s">
        <v>76</v>
      </c>
    </row>
    <row r="12" customFormat="false" ht="14.9" hidden="false" customHeight="false" outlineLevel="0" collapsed="false">
      <c r="A12" s="275" t="s">
        <v>77</v>
      </c>
    </row>
    <row r="13" customFormat="false" ht="14.9" hidden="false" customHeight="false" outlineLevel="0" collapsed="false">
      <c r="A13" s="275" t="s">
        <v>78</v>
      </c>
    </row>
    <row r="14" customFormat="false" ht="14.9" hidden="false" customHeight="false" outlineLevel="0" collapsed="false">
      <c r="A14" s="275" t="s">
        <v>79</v>
      </c>
    </row>
    <row r="15" customFormat="false" ht="14.9" hidden="false" customHeight="false" outlineLevel="0" collapsed="false">
      <c r="A15" s="275" t="s">
        <v>80</v>
      </c>
    </row>
    <row r="16" customFormat="false" ht="14.05" hidden="false" customHeight="false" outlineLevel="0" collapsed="false">
      <c r="A16" s="275"/>
    </row>
    <row r="17" customFormat="false" ht="14.05" hidden="false" customHeight="false" outlineLevel="0" collapsed="false">
      <c r="A17" s="275" t="s">
        <v>81</v>
      </c>
    </row>
    <row r="18" customFormat="false" ht="14.05" hidden="false" customHeight="false" outlineLevel="0" collapsed="false">
      <c r="A18" s="275" t="s">
        <v>82</v>
      </c>
    </row>
    <row r="19" customFormat="false" ht="13.85" hidden="false" customHeight="false" outlineLevel="0" collapsed="false">
      <c r="A19" s="275" t="s">
        <v>83</v>
      </c>
    </row>
    <row r="20" customFormat="false" ht="14.05" hidden="false" customHeight="false" outlineLevel="0" collapsed="false">
      <c r="A20" s="275" t="s">
        <v>84</v>
      </c>
    </row>
    <row r="21" customFormat="false" ht="14.05" hidden="false" customHeight="false" outlineLevel="0" collapsed="false">
      <c r="A21" s="275" t="s">
        <v>85</v>
      </c>
    </row>
    <row r="22" customFormat="false" ht="14.9" hidden="false" customHeight="false" outlineLevel="0" collapsed="false">
      <c r="A22" s="275" t="s">
        <v>86</v>
      </c>
    </row>
    <row r="23" customFormat="false" ht="14.05" hidden="false" customHeight="false" outlineLevel="0" collapsed="false">
      <c r="A23" s="275" t="s">
        <v>87</v>
      </c>
    </row>
    <row r="24" customFormat="false" ht="14.9" hidden="false" customHeight="false" outlineLevel="0" collapsed="false">
      <c r="A24" s="275" t="s">
        <v>88</v>
      </c>
    </row>
    <row r="25" customFormat="false" ht="14.05" hidden="false" customHeight="false" outlineLevel="0" collapsed="false">
      <c r="A25" s="275"/>
    </row>
    <row r="26" customFormat="false" ht="14.9" hidden="false" customHeight="false" outlineLevel="0" collapsed="false">
      <c r="A26" s="275" t="s">
        <v>89</v>
      </c>
    </row>
    <row r="27" customFormat="false" ht="14.9" hidden="false" customHeight="false" outlineLevel="0" collapsed="false">
      <c r="A27" s="275" t="s">
        <v>90</v>
      </c>
    </row>
    <row r="28" customFormat="false" ht="14.9" hidden="false" customHeight="false" outlineLevel="0" collapsed="false">
      <c r="A28" s="275" t="s">
        <v>91</v>
      </c>
    </row>
    <row r="29" customFormat="false" ht="14.9" hidden="false" customHeight="false" outlineLevel="0" collapsed="false">
      <c r="A29" s="275" t="s">
        <v>92</v>
      </c>
    </row>
    <row r="30" customFormat="false" ht="14.9" hidden="false" customHeight="false" outlineLevel="0" collapsed="false">
      <c r="A30" s="275" t="s">
        <v>93</v>
      </c>
    </row>
    <row r="31" customFormat="false" ht="14.9" hidden="false" customHeight="false" outlineLevel="0" collapsed="false">
      <c r="A31" s="275" t="s">
        <v>94</v>
      </c>
    </row>
    <row r="32" customFormat="false" ht="14.9" hidden="false" customHeight="false" outlineLevel="0" collapsed="false">
      <c r="A32" s="275" t="s">
        <v>95</v>
      </c>
    </row>
    <row r="33" customFormat="false" ht="14.9" hidden="false" customHeight="false" outlineLevel="0" collapsed="false">
      <c r="A33" s="275" t="s">
        <v>96</v>
      </c>
    </row>
    <row r="34" customFormat="false" ht="14.9" hidden="false" customHeight="false" outlineLevel="0" collapsed="false">
      <c r="A34" s="275" t="s">
        <v>97</v>
      </c>
    </row>
    <row r="35" customFormat="false" ht="14.9" hidden="false" customHeight="false" outlineLevel="0" collapsed="false">
      <c r="A35" s="275" t="s">
        <v>98</v>
      </c>
    </row>
    <row r="36" customFormat="false" ht="14.9" hidden="false" customHeight="false" outlineLevel="0" collapsed="false">
      <c r="A36" s="275" t="s">
        <v>99</v>
      </c>
    </row>
    <row r="37" customFormat="false" ht="13.8" hidden="false" customHeight="false" outlineLevel="0" collapsed="false"/>
    <row r="38" customFormat="false" ht="14.9" hidden="false" customHeight="false" outlineLevel="0" collapsed="false">
      <c r="A38" s="275" t="s">
        <v>100</v>
      </c>
    </row>
    <row r="39" customFormat="false" ht="14.9" hidden="false" customHeight="false" outlineLevel="0" collapsed="false">
      <c r="A39" s="275" t="s">
        <v>101</v>
      </c>
    </row>
    <row r="40" customFormat="false" ht="14.9" hidden="false" customHeight="false" outlineLevel="0" collapsed="false">
      <c r="A40" s="275" t="s">
        <v>102</v>
      </c>
    </row>
    <row r="41" customFormat="false" ht="14.9" hidden="false" customHeight="false" outlineLevel="0" collapsed="false">
      <c r="A41" s="275" t="s">
        <v>103</v>
      </c>
    </row>
    <row r="42" customFormat="false" ht="14.9" hidden="false" customHeight="false" outlineLevel="0" collapsed="false">
      <c r="A42" s="275" t="s">
        <v>104</v>
      </c>
    </row>
    <row r="43" customFormat="false" ht="14.9" hidden="false" customHeight="false" outlineLevel="0" collapsed="false">
      <c r="A43" s="275" t="s">
        <v>105</v>
      </c>
    </row>
    <row r="44" customFormat="false" ht="14.9" hidden="false" customHeight="false" outlineLevel="0" collapsed="false">
      <c r="A44" s="275" t="s">
        <v>106</v>
      </c>
    </row>
    <row r="45" customFormat="false" ht="14.9" hidden="false" customHeight="false" outlineLevel="0" collapsed="false">
      <c r="A45" s="275" t="s">
        <v>107</v>
      </c>
    </row>
    <row r="46" customFormat="false" ht="13.8" hidden="false" customHeight="false" outlineLevel="0" collapsed="false">
      <c r="A46" s="275"/>
    </row>
    <row r="47" customFormat="false" ht="14.9" hidden="false" customHeight="false" outlineLevel="0" collapsed="false">
      <c r="A47" s="275" t="s">
        <v>108</v>
      </c>
    </row>
    <row r="48" customFormat="false" ht="14.9" hidden="false" customHeight="false" outlineLevel="0" collapsed="false">
      <c r="A48" s="275" t="s">
        <v>109</v>
      </c>
    </row>
    <row r="49" customFormat="false" ht="14.9" hidden="false" customHeight="false" outlineLevel="0" collapsed="false">
      <c r="A49" s="275" t="s">
        <v>110</v>
      </c>
    </row>
    <row r="50" customFormat="false" ht="14.9" hidden="false" customHeight="false" outlineLevel="0" collapsed="false">
      <c r="A50" s="275" t="s">
        <v>111</v>
      </c>
    </row>
    <row r="51" customFormat="false" ht="14.9" hidden="false" customHeight="false" outlineLevel="0" collapsed="false">
      <c r="A51" s="275" t="s">
        <v>112</v>
      </c>
    </row>
    <row r="52" customFormat="false" ht="14.9" hidden="false" customHeight="false" outlineLevel="0" collapsed="false">
      <c r="A52" s="275" t="s">
        <v>113</v>
      </c>
    </row>
    <row r="53" customFormat="false" ht="14.9" hidden="false" customHeight="false" outlineLevel="0" collapsed="false">
      <c r="A53" s="275" t="s">
        <v>114</v>
      </c>
    </row>
    <row r="54" customFormat="false" ht="14.05" hidden="false" customHeight="false" outlineLevel="0" collapsed="false">
      <c r="A54" s="275" t="s">
        <v>115</v>
      </c>
    </row>
    <row r="55" customFormat="false" ht="14.05" hidden="false" customHeight="false" outlineLevel="0" collapsed="false">
      <c r="A55" s="275"/>
    </row>
    <row r="56" customFormat="false" ht="14.9" hidden="false" customHeight="false" outlineLevel="0" collapsed="false">
      <c r="A56" s="275" t="s">
        <v>116</v>
      </c>
    </row>
    <row r="57" customFormat="false" ht="14.9" hidden="false" customHeight="false" outlineLevel="0" collapsed="false">
      <c r="A57" s="275" t="s">
        <v>117</v>
      </c>
    </row>
    <row r="58" customFormat="false" ht="14.9" hidden="false" customHeight="false" outlineLevel="0" collapsed="false">
      <c r="A58" s="275" t="s">
        <v>118</v>
      </c>
    </row>
    <row r="59" customFormat="false" ht="14.9" hidden="false" customHeight="false" outlineLevel="0" collapsed="false">
      <c r="A59" s="275" t="s">
        <v>119</v>
      </c>
    </row>
    <row r="60" customFormat="false" ht="14.9" hidden="false" customHeight="false" outlineLevel="0" collapsed="false">
      <c r="A60" s="275" t="s">
        <v>120</v>
      </c>
    </row>
    <row r="61" customFormat="false" ht="14.9" hidden="false" customHeight="false" outlineLevel="0" collapsed="false">
      <c r="A61" s="275" t="s">
        <v>121</v>
      </c>
    </row>
    <row r="62" customFormat="false" ht="14.9" hidden="false" customHeight="false" outlineLevel="0" collapsed="false">
      <c r="A62" s="275" t="s">
        <v>122</v>
      </c>
    </row>
    <row r="63" customFormat="false" ht="13.8" hidden="false" customHeight="false" outlineLevel="0" collapsed="false">
      <c r="A63" s="275" t="s">
        <v>123</v>
      </c>
    </row>
    <row r="64" customFormat="false" ht="14.9" hidden="false" customHeight="false" outlineLevel="0" collapsed="false">
      <c r="A64" s="275" t="s">
        <v>124</v>
      </c>
    </row>
    <row r="65" customFormat="false" ht="14.9" hidden="false" customHeight="false" outlineLevel="0" collapsed="false">
      <c r="A65" s="275"/>
    </row>
    <row r="66" customFormat="false" ht="14.9" hidden="false" customHeight="false" outlineLevel="0" collapsed="false">
      <c r="A66" s="275"/>
    </row>
    <row r="67" customFormat="false" ht="14.9" hidden="false" customHeight="false" outlineLevel="0" collapsed="false">
      <c r="A67" s="275"/>
    </row>
    <row r="68" customFormat="false" ht="14.9" hidden="false" customHeight="false" outlineLevel="0" collapsed="false">
      <c r="A68" s="275"/>
    </row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2025-11-21T03:49:12Z</dcterms:created>
  <dc:creator>zulema sousa</dc:creator>
  <dc:description/>
  <dc:language>ca-ES-valencia</dc:language>
  <cp:lastModifiedBy>Josep Palmero</cp:lastModifiedBy>
  <dcterms:modified xsi:type="dcterms:W3CDTF">2026-06-02T12:09:01Z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